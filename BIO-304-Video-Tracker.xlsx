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urse Overview" sheetId="1" state="visible" r:id="rId1"/>
    <sheet xmlns:r="http://schemas.openxmlformats.org/officeDocument/2006/relationships" name="Video Tracker" sheetId="2" state="visible" r:id="rId2"/>
    <sheet xmlns:r="http://schemas.openxmlformats.org/officeDocument/2006/relationships" name="Schedul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A0522D"/>
      <sz val="9"/>
    </font>
    <font>
      <name val="Calibri"/>
      <charset val="1"/>
      <family val="0"/>
      <b val="1"/>
      <color rgb="FF1E3D4C"/>
      <sz val="20"/>
    </font>
    <font>
      <name val="Calibri"/>
      <charset val="1"/>
      <family val="0"/>
      <i val="1"/>
      <color rgb="FF5C6970"/>
      <sz val="10"/>
    </font>
    <font>
      <name val="Calibri"/>
      <charset val="1"/>
      <family val="0"/>
      <b val="1"/>
      <color rgb="FF1E3D4C"/>
      <sz val="22"/>
    </font>
    <font>
      <name val="Calibri"/>
      <charset val="1"/>
      <family val="0"/>
      <b val="1"/>
      <color rgb="FF1E3D4C"/>
      <sz val="10"/>
    </font>
    <font>
      <name val="Cambria"/>
      <charset val="1"/>
      <family val="0"/>
      <sz val="11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b val="1"/>
      <color rgb="FF1E3D4C"/>
      <sz val="11"/>
    </font>
    <font>
      <name val="Calibri"/>
      <charset val="1"/>
      <family val="0"/>
      <color rgb="FF5C6970"/>
      <sz val="10"/>
    </font>
    <font>
      <name val="Calibri"/>
      <charset val="1"/>
      <family val="0"/>
      <color rgb="FF1E3D4C"/>
      <sz val="10"/>
    </font>
    <font>
      <name val="Calibri"/>
      <charset val="1"/>
      <family val="0"/>
      <color rgb="FF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FFEDF1F3"/>
        <bgColor rgb="FFFBEEE6"/>
      </patternFill>
    </fill>
    <fill>
      <patternFill patternType="solid">
        <fgColor rgb="FFFFFFFF"/>
        <bgColor rgb="FFFAFAF9"/>
      </patternFill>
    </fill>
    <fill>
      <patternFill patternType="solid">
        <fgColor rgb="FF1E3D4C"/>
        <bgColor rgb="FF003366"/>
      </patternFill>
    </fill>
    <fill>
      <patternFill patternType="solid">
        <fgColor rgb="FFF7EED8"/>
        <bgColor rgb="FFFBEEE6"/>
      </patternFill>
    </fill>
    <fill>
      <patternFill patternType="solid">
        <fgColor rgb="FFFBEEE6"/>
        <bgColor rgb="FFF7EED8"/>
      </patternFill>
    </fill>
    <fill>
      <patternFill patternType="solid">
        <fgColor rgb="FFFAFAF9"/>
        <bgColor rgb="FFFFFFFF"/>
      </patternFill>
    </fill>
  </fills>
  <borders count="4">
    <border>
      <left/>
      <right/>
      <top/>
      <bottom/>
      <diagonal/>
    </border>
    <border>
      <left style="thin">
        <color rgb="FFCFD6DA"/>
      </left>
      <right style="thin">
        <color rgb="FFCFD6DA"/>
      </right>
      <top style="thin">
        <color rgb="FFCFD6DA"/>
      </top>
      <bottom style="thin">
        <color rgb="FFCFD6DA"/>
      </bottom>
      <diagonal/>
    </border>
    <border>
      <left style="thin">
        <color rgb="FFCFD6DA"/>
      </left>
      <right style="thin">
        <color rgb="FFCFD6DA"/>
      </right>
      <top style="medium">
        <color rgb="FF9A7838"/>
      </top>
      <bottom style="thin">
        <color rgb="FFCFD6DA"/>
      </bottom>
      <diagonal/>
    </border>
    <border>
      <left style="thin">
        <color rgb="FFCFD6DA"/>
      </left>
      <right style="thin">
        <color rgb="FFCFD6DA"/>
      </right>
      <top style="thin">
        <color rgb="FFCFD6DA"/>
      </top>
      <bottom style="medium">
        <color rgb="FF1E3D4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top" wrapText="1"/>
    </xf>
    <xf numFmtId="0" fontId="4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9" fontId="7" fillId="3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4" borderId="1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11" fillId="2" borderId="2" applyAlignment="1" pivotButton="0" quotePrefix="0" xfId="0">
      <alignment horizontal="left" vertical="center" wrapText="1"/>
    </xf>
    <xf numFmtId="0" fontId="8" fillId="2" borderId="2" applyAlignment="1" pivotButton="0" quotePrefix="0" xfId="0">
      <alignment horizontal="center" vertical="center" wrapText="1"/>
    </xf>
    <xf numFmtId="9" fontId="4" fillId="2" borderId="2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left" vertical="center" wrapText="1"/>
    </xf>
    <xf numFmtId="0" fontId="13" fillId="3" borderId="1" applyAlignment="1" pivotButton="0" quotePrefix="0" xfId="0">
      <alignment horizontal="center" vertical="center" wrapText="1"/>
    </xf>
    <xf numFmtId="9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 wrapText="1"/>
    </xf>
    <xf numFmtId="0" fontId="12" fillId="7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left" vertical="center" wrapText="1"/>
    </xf>
    <xf numFmtId="0" fontId="13" fillId="7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10" fillId="4" borderId="3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left" vertical="top" wrapText="1"/>
    </xf>
    <xf numFmtId="0" fontId="12" fillId="3" borderId="2" applyAlignment="1" pivotButton="0" quotePrefix="0" xfId="0">
      <alignment horizontal="left" vertical="top" wrapText="1"/>
    </xf>
    <xf numFmtId="0" fontId="8" fillId="3" borderId="2" applyAlignment="1" pivotButton="0" quotePrefix="0" xfId="0">
      <alignment horizontal="left" vertical="top" wrapText="1"/>
    </xf>
    <xf numFmtId="0" fontId="12" fillId="5" borderId="2" applyAlignment="1" pivotButton="0" quotePrefix="0" xfId="0">
      <alignment horizontal="left" vertical="top" wrapText="1"/>
    </xf>
    <xf numFmtId="0" fontId="12" fillId="6" borderId="2" applyAlignment="1" pivotButton="0" quotePrefix="0" xfId="0">
      <alignment horizontal="left" vertical="top" wrapText="1"/>
    </xf>
    <xf numFmtId="0" fontId="14" fillId="2" borderId="1" applyAlignment="1" pivotButton="0" quotePrefix="0" xfId="0">
      <alignment horizontal="left" vertical="center" wrapText="1"/>
    </xf>
    <xf numFmtId="0" fontId="13" fillId="3" borderId="1" applyAlignment="1" pivotButton="0" quotePrefix="0" xfId="0">
      <alignment horizontal="left" vertical="top" wrapText="1"/>
    </xf>
    <xf numFmtId="0" fontId="12" fillId="3" borderId="1" applyAlignment="1" pivotButton="0" quotePrefix="0" xfId="0">
      <alignment horizontal="left" vertical="top" wrapText="1"/>
    </xf>
    <xf numFmtId="0" fontId="8" fillId="3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  <xf numFmtId="0" fontId="12" fillId="6" borderId="1" applyAlignment="1" pivotButton="0" quotePrefix="0" xfId="0">
      <alignment horizontal="left" vertical="top" wrapText="1"/>
    </xf>
    <xf numFmtId="0" fontId="13" fillId="7" borderId="2" applyAlignment="1" pivotButton="0" quotePrefix="0" xfId="0">
      <alignment horizontal="center" vertical="center" wrapText="1"/>
    </xf>
    <xf numFmtId="0" fontId="13" fillId="7" borderId="2" applyAlignment="1" pivotButton="0" quotePrefix="0" xfId="0">
      <alignment horizontal="left" vertical="top" wrapText="1"/>
    </xf>
    <xf numFmtId="0" fontId="12" fillId="7" borderId="2" applyAlignment="1" pivotButton="0" quotePrefix="0" xfId="0">
      <alignment horizontal="left" vertical="top" wrapText="1"/>
    </xf>
    <xf numFmtId="0" fontId="8" fillId="7" borderId="2" applyAlignment="1" pivotButton="0" quotePrefix="0" xfId="0">
      <alignment horizontal="left" vertical="top" wrapText="1"/>
    </xf>
    <xf numFmtId="0" fontId="13" fillId="7" borderId="1" applyAlignment="1" pivotButton="0" quotePrefix="0" xfId="0">
      <alignment horizontal="left" vertical="top" wrapText="1"/>
    </xf>
    <xf numFmtId="0" fontId="12" fillId="7" borderId="1" applyAlignment="1" pivotButton="0" quotePrefix="0" xfId="0">
      <alignment horizontal="left" vertical="top" wrapText="1"/>
    </xf>
    <xf numFmtId="0" fontId="8" fillId="7" borderId="1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top" wrapText="1"/>
    </xf>
    <xf numFmtId="0" fontId="4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9" fontId="7" fillId="3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4" borderId="1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11" fillId="2" borderId="2" applyAlignment="1" pivotButton="0" quotePrefix="0" xfId="0">
      <alignment horizontal="left" vertical="center" wrapText="1"/>
    </xf>
    <xf numFmtId="0" fontId="8" fillId="2" borderId="2" applyAlignment="1" pivotButton="0" quotePrefix="0" xfId="0">
      <alignment horizontal="center" vertical="center" wrapText="1"/>
    </xf>
    <xf numFmtId="9" fontId="4" fillId="2" borderId="2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left" vertical="center" wrapText="1"/>
    </xf>
    <xf numFmtId="0" fontId="13" fillId="3" borderId="1" applyAlignment="1" pivotButton="0" quotePrefix="0" xfId="0">
      <alignment horizontal="center" vertical="center" wrapText="1"/>
    </xf>
    <xf numFmtId="9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 wrapText="1"/>
    </xf>
    <xf numFmtId="0" fontId="12" fillId="7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left" vertical="center" wrapText="1"/>
    </xf>
    <xf numFmtId="0" fontId="13" fillId="7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10" fillId="4" borderId="3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left" vertical="top" wrapText="1"/>
    </xf>
    <xf numFmtId="0" fontId="12" fillId="3" borderId="2" applyAlignment="1" pivotButton="0" quotePrefix="0" xfId="0">
      <alignment horizontal="left" vertical="top" wrapText="1"/>
    </xf>
    <xf numFmtId="0" fontId="8" fillId="3" borderId="2" applyAlignment="1" pivotButton="0" quotePrefix="0" xfId="0">
      <alignment horizontal="left" vertical="top" wrapText="1"/>
    </xf>
    <xf numFmtId="0" fontId="12" fillId="5" borderId="2" applyAlignment="1" pivotButton="0" quotePrefix="0" xfId="0">
      <alignment horizontal="left" vertical="top" wrapText="1"/>
    </xf>
    <xf numFmtId="0" fontId="12" fillId="6" borderId="2" applyAlignment="1" pivotButton="0" quotePrefix="0" xfId="0">
      <alignment horizontal="left" vertical="top" wrapText="1"/>
    </xf>
    <xf numFmtId="0" fontId="14" fillId="2" borderId="1" applyAlignment="1" pivotButton="0" quotePrefix="0" xfId="0">
      <alignment horizontal="left" vertical="center" wrapText="1"/>
    </xf>
    <xf numFmtId="0" fontId="13" fillId="3" borderId="1" applyAlignment="1" pivotButton="0" quotePrefix="0" xfId="0">
      <alignment horizontal="left" vertical="top" wrapText="1"/>
    </xf>
    <xf numFmtId="0" fontId="12" fillId="3" borderId="1" applyAlignment="1" pivotButton="0" quotePrefix="0" xfId="0">
      <alignment horizontal="left" vertical="top" wrapText="1"/>
    </xf>
    <xf numFmtId="0" fontId="8" fillId="3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  <xf numFmtId="0" fontId="12" fillId="6" borderId="1" applyAlignment="1" pivotButton="0" quotePrefix="0" xfId="0">
      <alignment horizontal="left" vertical="top" wrapText="1"/>
    </xf>
    <xf numFmtId="0" fontId="13" fillId="7" borderId="2" applyAlignment="1" pivotButton="0" quotePrefix="0" xfId="0">
      <alignment horizontal="center" vertical="center" wrapText="1"/>
    </xf>
    <xf numFmtId="0" fontId="13" fillId="7" borderId="2" applyAlignment="1" pivotButton="0" quotePrefix="0" xfId="0">
      <alignment horizontal="left" vertical="top" wrapText="1"/>
    </xf>
    <xf numFmtId="0" fontId="12" fillId="7" borderId="2" applyAlignment="1" pivotButton="0" quotePrefix="0" xfId="0">
      <alignment horizontal="left" vertical="top" wrapText="1"/>
    </xf>
    <xf numFmtId="0" fontId="8" fillId="7" borderId="2" applyAlignment="1" pivotButton="0" quotePrefix="0" xfId="0">
      <alignment horizontal="left" vertical="top" wrapText="1"/>
    </xf>
    <xf numFmtId="0" fontId="13" fillId="7" borderId="1" applyAlignment="1" pivotButton="0" quotePrefix="0" xfId="0">
      <alignment horizontal="left" vertical="top" wrapText="1"/>
    </xf>
    <xf numFmtId="0" fontId="12" fillId="7" borderId="1" applyAlignment="1" pivotButton="0" quotePrefix="0" xfId="0">
      <alignment horizontal="left" vertical="top" wrapText="1"/>
    </xf>
    <xf numFmtId="0" fontId="8" fillId="7" borderId="1" applyAlignment="1" pivotButton="0" quotePrefix="0" xfId="0">
      <alignment horizontal="left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A7838"/>
      <rgbColor rgb="FF800080"/>
      <rgbColor rgb="FF008080"/>
      <rgbColor rgb="FFC0C0C0"/>
      <rgbColor rgb="FF808080"/>
      <rgbColor rgb="FF9999FF"/>
      <rgbColor rgb="FF993366"/>
      <rgbColor rgb="FFF7EED8"/>
      <rgbColor rgb="FFEDF1F3"/>
      <rgbColor rgb="FF660066"/>
      <rgbColor rgb="FFFF8080"/>
      <rgbColor rgb="FF0563C1"/>
      <rgbColor rgb="FFCFD6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AFAF9"/>
      <rgbColor rgb="FFCCFFCC"/>
      <rgbColor rgb="FFFBEEE6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C6970"/>
      <rgbColor rgb="FF969696"/>
      <rgbColor rgb="FF003366"/>
      <rgbColor rgb="FF339966"/>
      <rgbColor rgb="FF003300"/>
      <rgbColor rgb="FF333300"/>
      <rgbColor rgb="FFA0522D"/>
      <rgbColor rgb="FF993366"/>
      <rgbColor rgb="FF333399"/>
      <rgbColor rgb="FF1E3D4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S7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7" customWidth="1" style="49" min="1" max="1"/>
    <col width="8" customWidth="1" style="49" min="2" max="2"/>
    <col width="7" customWidth="1" style="49" min="3" max="3"/>
    <col width="38" customWidth="1" style="49" min="4" max="4"/>
    <col width="7" customWidth="1" style="49" min="5" max="5"/>
    <col width="26" customWidth="1" style="49" min="6" max="7"/>
    <col width="30" customWidth="1" style="49" min="8" max="8"/>
    <col width="12" customWidth="1" style="49" min="9" max="9"/>
  </cols>
  <sheetData>
    <row r="1" ht="15" customHeight="1" s="50">
      <c r="A1" s="51" t="inlineStr">
        <is>
          <t>BIO 304 . HUMAN ANATOMY &amp; PHYSIOLOGY . AMERICAN RIVER COLLEGE</t>
        </is>
      </c>
    </row>
    <row r="2" ht="30" customHeight="1" s="50">
      <c r="A2" s="52" t="inlineStr">
        <is>
          <t>Course Overview (8-Week Essentials)</t>
        </is>
      </c>
    </row>
    <row r="3" ht="21.75" customHeight="1" s="50">
      <c r="A3" s="53" t="inlineStr">
        <is>
          <t>Live counts pull from the Video Tracker tab. Update URLs there and these stats refresh automatically.</t>
        </is>
      </c>
    </row>
    <row r="4"/>
    <row r="5" ht="21.75" customHeight="1" s="50">
      <c r="A5" s="54" t="inlineStr">
        <is>
          <t>TOTAL TOPICS</t>
        </is>
      </c>
      <c r="B5" s="54" t="inlineStr">
        <is>
          <t>VIDEOS WITH URL</t>
        </is>
      </c>
      <c r="C5" s="54" t="inlineStr">
        <is>
          <t>PERCENT COMPLETE</t>
        </is>
      </c>
      <c r="D5" s="54" t="inlineStr">
        <is>
          <t>TOTAL CARDS</t>
        </is>
      </c>
      <c r="E5" s="54" t="inlineStr">
        <is>
          <t>MODULES</t>
        </is>
      </c>
      <c r="F5" s="55" t="n"/>
    </row>
    <row r="6" ht="49.5" customHeight="1" s="50">
      <c r="A6" s="56">
        <f>COUNTA('Video Tracker'!D6:D200)</f>
        <v/>
      </c>
      <c r="B6" s="56">
        <f>COUNTIF('Video Tracker'!L6:L200,"?*")</f>
        <v/>
      </c>
      <c r="C6" s="57">
        <f>IF(A6=0,0,B6/A6)</f>
        <v/>
      </c>
      <c r="D6" s="56">
        <f>SUM('Video Tracker'!G6:G200)</f>
        <v/>
      </c>
      <c r="E6" s="56">
        <f>MAX('Video Tracker'!A6:A200)</f>
        <v/>
      </c>
      <c r="F6" s="58" t="n"/>
    </row>
    <row r="7"/>
    <row r="8" ht="21.75" customHeight="1" s="50">
      <c r="A8" s="59" t="inlineStr">
        <is>
          <t>Course plan (modules and topics)</t>
        </is>
      </c>
      <c r="J8" s="60" t="n"/>
      <c r="K8" s="60" t="n"/>
      <c r="L8" s="60" t="n"/>
      <c r="M8" s="60" t="n"/>
      <c r="N8" s="60" t="n"/>
      <c r="O8" s="60" t="n"/>
      <c r="P8" s="60" t="n"/>
      <c r="Q8" s="60" t="n"/>
      <c r="R8" s="60" t="n"/>
      <c r="S8" s="60" t="n"/>
    </row>
    <row r="9" ht="27.75" customHeight="1" s="50">
      <c r="A9" s="61" t="inlineStr">
        <is>
          <t>Mod #</t>
        </is>
      </c>
      <c r="B9" s="61" t="inlineStr">
        <is>
          <t>Day</t>
        </is>
      </c>
      <c r="C9" s="61" t="inlineStr">
        <is>
          <t>DoW</t>
        </is>
      </c>
      <c r="D9" s="61" t="inlineStr">
        <is>
          <t>Topic / Module</t>
        </is>
      </c>
      <c r="E9" s="61" t="inlineStr">
        <is>
          <t>Cards</t>
        </is>
      </c>
      <c r="F9" s="61" t="inlineStr">
        <is>
          <t>Video URL</t>
        </is>
      </c>
      <c r="G9" s="61" t="inlineStr">
        <is>
          <t>Notes URL</t>
        </is>
      </c>
      <c r="H9" s="61" t="inlineStr">
        <is>
          <t>OpenStax ref</t>
        </is>
      </c>
      <c r="I9" s="61" t="inlineStr">
        <is>
          <t>Status</t>
        </is>
      </c>
      <c r="J9" s="60" t="n"/>
      <c r="K9" s="60" t="n"/>
      <c r="L9" s="60" t="n"/>
      <c r="M9" s="60" t="n"/>
      <c r="N9" s="60" t="n"/>
      <c r="O9" s="60" t="n"/>
      <c r="P9" s="60" t="n"/>
      <c r="Q9" s="60" t="n"/>
      <c r="R9" s="60" t="n"/>
      <c r="S9" s="60" t="n"/>
    </row>
    <row r="10" ht="21.75" customHeight="1" s="50">
      <c r="A10" s="62" t="n">
        <v>1</v>
      </c>
      <c r="B10" s="62" t="n"/>
      <c r="C10" s="62" t="inlineStr">
        <is>
          <t>Wk 1</t>
        </is>
      </c>
      <c r="D10" s="63" t="inlineStr">
        <is>
          <t>Module 1: Foundations of Anatomy and Physiology</t>
        </is>
      </c>
      <c r="E10" s="64" t="n">
        <v>22</v>
      </c>
      <c r="F10" s="65" t="inlineStr">
        <is>
          <t>3 topics</t>
        </is>
      </c>
      <c r="G10" s="62" t="n"/>
      <c r="H10" s="62" t="n"/>
      <c r="I10" s="62" t="n"/>
      <c r="J10" s="60" t="n"/>
      <c r="K10" s="60" t="n"/>
      <c r="L10" s="60" t="n"/>
      <c r="M10" s="60" t="n"/>
      <c r="N10" s="60" t="n"/>
      <c r="O10" s="60" t="n"/>
      <c r="P10" s="60" t="n"/>
      <c r="Q10" s="60" t="n"/>
      <c r="R10" s="60" t="n"/>
      <c r="S10" s="60" t="n"/>
    </row>
    <row r="11" ht="19.5" customHeight="1" s="50">
      <c r="A11" s="66" t="n"/>
      <c r="B11" s="67" t="inlineStr">
        <is>
          <t>Day 1</t>
        </is>
      </c>
      <c r="C11" s="67" t="inlineStr">
        <is>
          <t>Mon</t>
        </is>
      </c>
      <c r="D11" s="68" t="inlineStr">
        <is>
          <t>Levels of Organization</t>
        </is>
      </c>
      <c r="E11" s="69" t="n">
        <v>7</v>
      </c>
      <c r="F11" s="70" t="inlineStr">
        <is>
          <t>—</t>
        </is>
      </c>
      <c r="G11" s="71" t="inlineStr">
        <is>
          <t>—</t>
        </is>
      </c>
      <c r="H11" s="72" t="inlineStr">
        <is>
          <t>https://openstax.org/books/anatomy-and-physiology-2e/pages/1-2-structural-organization-of-the-human-body</t>
        </is>
      </c>
      <c r="I11" s="67" t="inlineStr">
        <is>
          <t>Pending</t>
        </is>
      </c>
      <c r="J11" s="60" t="n"/>
      <c r="K11" s="60" t="n"/>
      <c r="L11" s="60" t="n"/>
      <c r="M11" s="60" t="n"/>
      <c r="N11" s="60" t="n"/>
      <c r="O11" s="60" t="n"/>
      <c r="P11" s="60" t="n"/>
      <c r="Q11" s="60" t="n"/>
      <c r="R11" s="60" t="n"/>
      <c r="S11" s="60" t="n"/>
    </row>
    <row r="12" ht="19.5" customHeight="1" s="50">
      <c r="A12" s="73" t="n"/>
      <c r="B12" s="74" t="inlineStr">
        <is>
          <t>Day 1</t>
        </is>
      </c>
      <c r="C12" s="74" t="inlineStr">
        <is>
          <t>Mon</t>
        </is>
      </c>
      <c r="D12" s="75" t="inlineStr">
        <is>
          <t>Anatomical Terminology and Body Regions</t>
        </is>
      </c>
      <c r="E12" s="76" t="n">
        <v>7</v>
      </c>
      <c r="F12" s="70" t="inlineStr">
        <is>
          <t>—</t>
        </is>
      </c>
      <c r="G12" s="71" t="inlineStr">
        <is>
          <t>—</t>
        </is>
      </c>
      <c r="H12" s="72" t="inlineStr">
        <is>
          <t>https://openstax.org/books/anatomy-and-physiology-2e/pages/1-6-anatomical-terminology</t>
        </is>
      </c>
      <c r="I12" s="74" t="inlineStr">
        <is>
          <t>Pending</t>
        </is>
      </c>
      <c r="J12" s="60" t="n"/>
      <c r="K12" s="60" t="n"/>
      <c r="L12" s="60" t="n"/>
      <c r="M12" s="60" t="n"/>
      <c r="N12" s="60" t="n"/>
      <c r="O12" s="60" t="n"/>
      <c r="P12" s="60" t="n"/>
      <c r="Q12" s="60" t="n"/>
      <c r="R12" s="60" t="n"/>
      <c r="S12" s="60" t="n"/>
    </row>
    <row r="13" ht="19.5" customHeight="1" s="50">
      <c r="A13" s="66" t="n"/>
      <c r="B13" s="67" t="inlineStr">
        <is>
          <t>Day 2</t>
        </is>
      </c>
      <c r="C13" s="67" t="inlineStr">
        <is>
          <t>Tue</t>
        </is>
      </c>
      <c r="D13" s="68" t="inlineStr">
        <is>
          <t>Homeostasis and Feedback Loops</t>
        </is>
      </c>
      <c r="E13" s="69" t="n">
        <v>8</v>
      </c>
      <c r="F13" s="70" t="inlineStr">
        <is>
          <t>—</t>
        </is>
      </c>
      <c r="G13" s="71" t="inlineStr">
        <is>
          <t>—</t>
        </is>
      </c>
      <c r="H13" s="72" t="inlineStr">
        <is>
          <t>https://openstax.org/books/anatomy-and-physiology-2e/pages/1-5-homeostasis</t>
        </is>
      </c>
      <c r="I13" s="67" t="inlineStr">
        <is>
          <t>Pending</t>
        </is>
      </c>
      <c r="J13" s="60" t="n"/>
      <c r="K13" s="60" t="n"/>
      <c r="L13" s="60" t="n"/>
      <c r="M13" s="60" t="n"/>
      <c r="N13" s="60" t="n"/>
      <c r="O13" s="60" t="n"/>
      <c r="P13" s="60" t="n"/>
      <c r="Q13" s="60" t="n"/>
      <c r="R13" s="60" t="n"/>
      <c r="S13" s="60" t="n"/>
    </row>
    <row r="14" ht="21.75" customHeight="1" s="50">
      <c r="A14" s="62" t="n">
        <v>2</v>
      </c>
      <c r="B14" s="62" t="n"/>
      <c r="C14" s="62" t="inlineStr">
        <is>
          <t>Wk 1</t>
        </is>
      </c>
      <c r="D14" s="63" t="inlineStr">
        <is>
          <t>Module 2: The Cell</t>
        </is>
      </c>
      <c r="E14" s="64" t="n">
        <v>15</v>
      </c>
      <c r="F14" s="65" t="inlineStr">
        <is>
          <t>2 topics</t>
        </is>
      </c>
      <c r="G14" s="62" t="n"/>
      <c r="H14" s="62" t="n"/>
      <c r="I14" s="62" t="n"/>
      <c r="J14" s="60" t="n"/>
      <c r="K14" s="60" t="n"/>
      <c r="L14" s="60" t="n"/>
      <c r="M14" s="60" t="n"/>
      <c r="N14" s="60" t="n"/>
      <c r="O14" s="60" t="n"/>
      <c r="P14" s="60" t="n"/>
      <c r="Q14" s="60" t="n"/>
      <c r="R14" s="60" t="n"/>
      <c r="S14" s="60" t="n"/>
    </row>
    <row r="15" ht="19.5" customHeight="1" s="50">
      <c r="A15" s="66" t="n"/>
      <c r="B15" s="67" t="inlineStr">
        <is>
          <t>Day 3</t>
        </is>
      </c>
      <c r="C15" s="67" t="inlineStr">
        <is>
          <t>Thu</t>
        </is>
      </c>
      <c r="D15" s="68" t="inlineStr">
        <is>
          <t>Cell Structure and Organelles</t>
        </is>
      </c>
      <c r="E15" s="69" t="n">
        <v>7</v>
      </c>
      <c r="F15" s="70" t="inlineStr">
        <is>
          <t>—</t>
        </is>
      </c>
      <c r="G15" s="71" t="inlineStr">
        <is>
          <t>—</t>
        </is>
      </c>
      <c r="H15" s="72" t="inlineStr">
        <is>
          <t>https://openstax.org/books/anatomy-and-physiology-2e/pages/3-2-the-cytoplasm-and-cellular-organelles</t>
        </is>
      </c>
      <c r="I15" s="67" t="inlineStr">
        <is>
          <t>Pending</t>
        </is>
      </c>
      <c r="J15" s="60" t="n"/>
      <c r="K15" s="60" t="n"/>
      <c r="L15" s="60" t="n"/>
      <c r="M15" s="60" t="n"/>
      <c r="N15" s="60" t="n"/>
      <c r="O15" s="60" t="n"/>
      <c r="P15" s="60" t="n"/>
      <c r="Q15" s="60" t="n"/>
      <c r="R15" s="60" t="n"/>
      <c r="S15" s="60" t="n"/>
    </row>
    <row r="16" ht="19.5" customHeight="1" s="50">
      <c r="A16" s="73" t="n"/>
      <c r="B16" s="74" t="inlineStr">
        <is>
          <t>Day 4</t>
        </is>
      </c>
      <c r="C16" s="74" t="inlineStr">
        <is>
          <t>Fri</t>
        </is>
      </c>
      <c r="D16" s="75" t="inlineStr">
        <is>
          <t>Membrane Transport</t>
        </is>
      </c>
      <c r="E16" s="76" t="n">
        <v>8</v>
      </c>
      <c r="F16" s="70" t="inlineStr">
        <is>
          <t>—</t>
        </is>
      </c>
      <c r="G16" s="71" t="inlineStr">
        <is>
          <t>—</t>
        </is>
      </c>
      <c r="H16" s="72" t="inlineStr">
        <is>
          <t>https://openstax.org/books/anatomy-and-physiology-2e/pages/3-1-the-cell-membrane</t>
        </is>
      </c>
      <c r="I16" s="74" t="inlineStr">
        <is>
          <t>Pending</t>
        </is>
      </c>
      <c r="J16" s="60" t="n"/>
      <c r="K16" s="60" t="n"/>
      <c r="L16" s="60" t="n"/>
      <c r="M16" s="60" t="n"/>
      <c r="N16" s="60" t="n"/>
      <c r="O16" s="60" t="n"/>
      <c r="P16" s="60" t="n"/>
      <c r="Q16" s="60" t="n"/>
      <c r="R16" s="60" t="n"/>
      <c r="S16" s="60" t="n"/>
    </row>
    <row r="17" ht="21.75" customHeight="1" s="50">
      <c r="A17" s="62" t="n">
        <v>3</v>
      </c>
      <c r="B17" s="62" t="n"/>
      <c r="C17" s="62" t="inlineStr">
        <is>
          <t>Wk 2</t>
        </is>
      </c>
      <c r="D17" s="63" t="inlineStr">
        <is>
          <t>Module 3: Tissues</t>
        </is>
      </c>
      <c r="E17" s="64" t="n">
        <v>20</v>
      </c>
      <c r="F17" s="65" t="inlineStr">
        <is>
          <t>3 topics</t>
        </is>
      </c>
      <c r="G17" s="62" t="n"/>
      <c r="H17" s="62" t="n"/>
      <c r="I17" s="62" t="n"/>
      <c r="J17" s="60" t="n"/>
      <c r="K17" s="60" t="n"/>
      <c r="L17" s="60" t="n"/>
      <c r="M17" s="60" t="n"/>
      <c r="N17" s="60" t="n"/>
      <c r="O17" s="60" t="n"/>
      <c r="P17" s="60" t="n"/>
      <c r="Q17" s="60" t="n"/>
      <c r="R17" s="60" t="n"/>
      <c r="S17" s="60" t="n"/>
    </row>
    <row r="18" ht="19.5" customHeight="1" s="50">
      <c r="A18" s="73" t="n"/>
      <c r="B18" s="74" t="inlineStr">
        <is>
          <t>Day 5</t>
        </is>
      </c>
      <c r="C18" s="74" t="inlineStr">
        <is>
          <t>Mon</t>
        </is>
      </c>
      <c r="D18" s="75" t="inlineStr">
        <is>
          <t>Epithelial Tissue Classification</t>
        </is>
      </c>
      <c r="E18" s="76" t="n">
        <v>7</v>
      </c>
      <c r="F18" s="70" t="inlineStr">
        <is>
          <t>—</t>
        </is>
      </c>
      <c r="G18" s="71" t="inlineStr">
        <is>
          <t>—</t>
        </is>
      </c>
      <c r="H18" s="72" t="inlineStr">
        <is>
          <t>https://openstax.org/books/anatomy-and-physiology-2e/pages/4-2-epithelial-tissue</t>
        </is>
      </c>
      <c r="I18" s="74" t="inlineStr">
        <is>
          <t>Pending</t>
        </is>
      </c>
      <c r="J18" s="60" t="n"/>
      <c r="K18" s="60" t="n"/>
      <c r="L18" s="60" t="n"/>
      <c r="M18" s="60" t="n"/>
      <c r="N18" s="60" t="n"/>
      <c r="O18" s="60" t="n"/>
      <c r="P18" s="60" t="n"/>
      <c r="Q18" s="60" t="n"/>
      <c r="R18" s="60" t="n"/>
      <c r="S18" s="60" t="n"/>
    </row>
    <row r="19" ht="19.5" customHeight="1" s="50">
      <c r="A19" s="66" t="n"/>
      <c r="B19" s="67" t="inlineStr">
        <is>
          <t>Day 6</t>
        </is>
      </c>
      <c r="C19" s="67" t="inlineStr">
        <is>
          <t>Tue</t>
        </is>
      </c>
      <c r="D19" s="68" t="inlineStr">
        <is>
          <t>Connective Tissues</t>
        </is>
      </c>
      <c r="E19" s="69" t="n">
        <v>7</v>
      </c>
      <c r="F19" s="70" t="inlineStr">
        <is>
          <t>—</t>
        </is>
      </c>
      <c r="G19" s="71" t="inlineStr">
        <is>
          <t>—</t>
        </is>
      </c>
      <c r="H19" s="72" t="inlineStr">
        <is>
          <t>https://openstax.org/books/anatomy-and-physiology-2e/pages/4-3-connective-tissue-supports-and-protects</t>
        </is>
      </c>
      <c r="I19" s="67" t="inlineStr">
        <is>
          <t>Pending</t>
        </is>
      </c>
      <c r="J19" s="60" t="n"/>
      <c r="K19" s="60" t="n"/>
      <c r="L19" s="60" t="n"/>
      <c r="M19" s="60" t="n"/>
      <c r="N19" s="60" t="n"/>
      <c r="O19" s="60" t="n"/>
      <c r="P19" s="60" t="n"/>
      <c r="Q19" s="60" t="n"/>
      <c r="R19" s="60" t="n"/>
      <c r="S19" s="60" t="n"/>
    </row>
    <row r="20" ht="19.5" customHeight="1" s="50">
      <c r="A20" s="73" t="n"/>
      <c r="B20" s="74" t="inlineStr">
        <is>
          <t>Day 7</t>
        </is>
      </c>
      <c r="C20" s="74" t="inlineStr">
        <is>
          <t>Thu</t>
        </is>
      </c>
      <c r="D20" s="75" t="inlineStr">
        <is>
          <t>Muscle and Nervous Tissue Overview</t>
        </is>
      </c>
      <c r="E20" s="76" t="n">
        <v>6</v>
      </c>
      <c r="F20" s="70" t="inlineStr">
        <is>
          <t>—</t>
        </is>
      </c>
      <c r="G20" s="71" t="inlineStr">
        <is>
          <t>—</t>
        </is>
      </c>
      <c r="H20" s="72" t="inlineStr">
        <is>
          <t>https://openstax.org/books/anatomy-and-physiology-2e/pages/4-4-muscle-tissue-and-motion</t>
        </is>
      </c>
      <c r="I20" s="74" t="inlineStr">
        <is>
          <t>Pending</t>
        </is>
      </c>
      <c r="J20" s="60" t="n"/>
      <c r="K20" s="60" t="n"/>
      <c r="L20" s="60" t="n"/>
      <c r="M20" s="60" t="n"/>
      <c r="N20" s="60" t="n"/>
      <c r="O20" s="60" t="n"/>
      <c r="P20" s="60" t="n"/>
      <c r="Q20" s="60" t="n"/>
      <c r="R20" s="60" t="n"/>
      <c r="S20" s="60" t="n"/>
    </row>
    <row r="21" ht="21.75" customHeight="1" s="50">
      <c r="A21" s="62" t="n">
        <v>4</v>
      </c>
      <c r="B21" s="62" t="n"/>
      <c r="C21" s="62" t="inlineStr">
        <is>
          <t>Wk 2</t>
        </is>
      </c>
      <c r="D21" s="63" t="inlineStr">
        <is>
          <t>Module 4: Integumentary System</t>
        </is>
      </c>
      <c r="E21" s="64" t="n">
        <v>12</v>
      </c>
      <c r="F21" s="65" t="inlineStr">
        <is>
          <t>2 topics</t>
        </is>
      </c>
      <c r="G21" s="62" t="n"/>
      <c r="H21" s="62" t="n"/>
      <c r="I21" s="62" t="n"/>
      <c r="J21" s="60" t="n"/>
      <c r="K21" s="60" t="n"/>
      <c r="L21" s="60" t="n"/>
      <c r="M21" s="60" t="n"/>
      <c r="N21" s="60" t="n"/>
      <c r="O21" s="60" t="n"/>
      <c r="P21" s="60" t="n"/>
      <c r="Q21" s="60" t="n"/>
      <c r="R21" s="60" t="n"/>
      <c r="S21" s="60" t="n"/>
    </row>
    <row r="22" ht="19.5" customHeight="1" s="50">
      <c r="A22" s="73" t="n"/>
      <c r="B22" s="74" t="inlineStr">
        <is>
          <t>Day 7</t>
        </is>
      </c>
      <c r="C22" s="74" t="inlineStr">
        <is>
          <t>Thu</t>
        </is>
      </c>
      <c r="D22" s="75" t="inlineStr">
        <is>
          <t>Skin Structure and Layers</t>
        </is>
      </c>
      <c r="E22" s="76" t="n">
        <v>6</v>
      </c>
      <c r="F22" s="70" t="inlineStr">
        <is>
          <t>—</t>
        </is>
      </c>
      <c r="G22" s="71" t="inlineStr">
        <is>
          <t>—</t>
        </is>
      </c>
      <c r="H22" s="72" t="inlineStr">
        <is>
          <t>https://openstax.org/books/anatomy-and-physiology-2e/pages/5-1-layers-of-the-skin</t>
        </is>
      </c>
      <c r="I22" s="74" t="inlineStr">
        <is>
          <t>Pending</t>
        </is>
      </c>
      <c r="J22" s="60" t="n"/>
      <c r="K22" s="60" t="n"/>
      <c r="L22" s="60" t="n"/>
      <c r="M22" s="60" t="n"/>
      <c r="N22" s="60" t="n"/>
      <c r="O22" s="60" t="n"/>
      <c r="P22" s="60" t="n"/>
      <c r="Q22" s="60" t="n"/>
      <c r="R22" s="60" t="n"/>
      <c r="S22" s="60" t="n"/>
    </row>
    <row r="23" ht="19.5" customHeight="1" s="50">
      <c r="A23" s="66" t="n"/>
      <c r="B23" s="67" t="inlineStr">
        <is>
          <t>Day 8</t>
        </is>
      </c>
      <c r="C23" s="67" t="inlineStr">
        <is>
          <t>Fri</t>
        </is>
      </c>
      <c r="D23" s="68" t="inlineStr">
        <is>
          <t>Skin Functions and Accessory Structures</t>
        </is>
      </c>
      <c r="E23" s="69" t="n">
        <v>6</v>
      </c>
      <c r="F23" s="70" t="inlineStr">
        <is>
          <t>—</t>
        </is>
      </c>
      <c r="G23" s="71" t="inlineStr">
        <is>
          <t>—</t>
        </is>
      </c>
      <c r="H23" s="72" t="inlineStr">
        <is>
          <t>https://openstax.org/books/anatomy-and-physiology-2e/pages/5-3-functions-of-the-integumentary-system</t>
        </is>
      </c>
      <c r="I23" s="67" t="inlineStr">
        <is>
          <t>Pending</t>
        </is>
      </c>
      <c r="J23" s="60" t="n"/>
      <c r="K23" s="60" t="n"/>
      <c r="L23" s="60" t="n"/>
      <c r="M23" s="60" t="n"/>
      <c r="N23" s="60" t="n"/>
      <c r="O23" s="60" t="n"/>
      <c r="P23" s="60" t="n"/>
      <c r="Q23" s="60" t="n"/>
      <c r="R23" s="60" t="n"/>
      <c r="S23" s="60" t="n"/>
    </row>
    <row r="24" ht="21.75" customHeight="1" s="50">
      <c r="A24" s="62" t="n">
        <v>5</v>
      </c>
      <c r="B24" s="62" t="n"/>
      <c r="C24" s="62" t="inlineStr">
        <is>
          <t>Wk 3</t>
        </is>
      </c>
      <c r="D24" s="63" t="inlineStr">
        <is>
          <t>Module 5: Skeletal System</t>
        </is>
      </c>
      <c r="E24" s="64" t="n">
        <v>25</v>
      </c>
      <c r="F24" s="65" t="inlineStr">
        <is>
          <t>4 topics</t>
        </is>
      </c>
      <c r="G24" s="62" t="n"/>
      <c r="H24" s="62" t="n"/>
      <c r="I24" s="62" t="n"/>
      <c r="J24" s="60" t="n"/>
      <c r="K24" s="60" t="n"/>
      <c r="L24" s="60" t="n"/>
      <c r="M24" s="60" t="n"/>
      <c r="N24" s="60" t="n"/>
      <c r="O24" s="60" t="n"/>
      <c r="P24" s="60" t="n"/>
      <c r="Q24" s="60" t="n"/>
      <c r="R24" s="60" t="n"/>
      <c r="S24" s="60" t="n"/>
    </row>
    <row r="25" ht="19.5" customHeight="1" s="50">
      <c r="A25" s="66" t="n"/>
      <c r="B25" s="67" t="inlineStr">
        <is>
          <t>Day 9</t>
        </is>
      </c>
      <c r="C25" s="67" t="inlineStr">
        <is>
          <t>Mon</t>
        </is>
      </c>
      <c r="D25" s="68" t="inlineStr">
        <is>
          <t>Bone Tissue and Bone Growth</t>
        </is>
      </c>
      <c r="E25" s="69" t="n">
        <v>7</v>
      </c>
      <c r="F25" s="70" t="inlineStr">
        <is>
          <t>—</t>
        </is>
      </c>
      <c r="G25" s="71" t="inlineStr">
        <is>
          <t>—</t>
        </is>
      </c>
      <c r="H25" s="72" t="inlineStr">
        <is>
          <t>https://openstax.org/books/anatomy-and-physiology-2e/pages/6-3-bone-structure</t>
        </is>
      </c>
      <c r="I25" s="67" t="inlineStr">
        <is>
          <t>Pending</t>
        </is>
      </c>
      <c r="J25" s="60" t="n"/>
      <c r="K25" s="60" t="n"/>
      <c r="L25" s="60" t="n"/>
      <c r="M25" s="60" t="n"/>
      <c r="N25" s="60" t="n"/>
      <c r="O25" s="60" t="n"/>
      <c r="P25" s="60" t="n"/>
      <c r="Q25" s="60" t="n"/>
      <c r="R25" s="60" t="n"/>
      <c r="S25" s="60" t="n"/>
    </row>
    <row r="26" ht="19.5" customHeight="1" s="50">
      <c r="A26" s="73" t="n"/>
      <c r="B26" s="74" t="inlineStr">
        <is>
          <t>Day 10</t>
        </is>
      </c>
      <c r="C26" s="74" t="inlineStr">
        <is>
          <t>Tue</t>
        </is>
      </c>
      <c r="D26" s="75" t="inlineStr">
        <is>
          <t>Axial Skeleton</t>
        </is>
      </c>
      <c r="E26" s="76" t="n">
        <v>6</v>
      </c>
      <c r="F26" s="77" t="inlineStr">
        <is>
          <t>—</t>
        </is>
      </c>
      <c r="G26" s="71" t="inlineStr">
        <is>
          <t>—</t>
        </is>
      </c>
      <c r="H26" s="72" t="inlineStr">
        <is>
          <t>https://openstax.org/books/anatomy-and-physiology-2e/pages/7-1-divisions-of-the-skeletal-system</t>
        </is>
      </c>
      <c r="I26" s="74" t="inlineStr">
        <is>
          <t>Pending</t>
        </is>
      </c>
      <c r="J26" s="60" t="n"/>
      <c r="K26" s="60" t="n"/>
      <c r="L26" s="60" t="n"/>
      <c r="M26" s="60" t="n"/>
      <c r="N26" s="60" t="n"/>
      <c r="O26" s="60" t="n"/>
      <c r="P26" s="60" t="n"/>
      <c r="Q26" s="60" t="n"/>
      <c r="R26" s="60" t="n"/>
      <c r="S26" s="60" t="n"/>
    </row>
    <row r="27" ht="19.5" customHeight="1" s="50">
      <c r="A27" s="66" t="n"/>
      <c r="B27" s="67" t="inlineStr">
        <is>
          <t>Day 11</t>
        </is>
      </c>
      <c r="C27" s="67" t="inlineStr">
        <is>
          <t>Thu</t>
        </is>
      </c>
      <c r="D27" s="68" t="inlineStr">
        <is>
          <t>Appendicular Skeleton</t>
        </is>
      </c>
      <c r="E27" s="69" t="n">
        <v>6</v>
      </c>
      <c r="F27" s="77" t="inlineStr">
        <is>
          <t>—</t>
        </is>
      </c>
      <c r="G27" s="71" t="inlineStr">
        <is>
          <t>—</t>
        </is>
      </c>
      <c r="H27" s="72" t="inlineStr">
        <is>
          <t>https://openstax.org/books/anatomy-and-physiology-2e/pages/8-1-the-pectoral-girdle</t>
        </is>
      </c>
      <c r="I27" s="67" t="inlineStr">
        <is>
          <t>Pending</t>
        </is>
      </c>
      <c r="J27" s="60" t="n"/>
      <c r="K27" s="60" t="n"/>
      <c r="L27" s="60" t="n"/>
      <c r="M27" s="60" t="n"/>
      <c r="N27" s="60" t="n"/>
      <c r="O27" s="60" t="n"/>
      <c r="P27" s="60" t="n"/>
      <c r="Q27" s="60" t="n"/>
      <c r="R27" s="60" t="n"/>
      <c r="S27" s="60" t="n"/>
    </row>
    <row r="28" ht="19.5" customHeight="1" s="50">
      <c r="A28" s="73" t="n"/>
      <c r="B28" s="74" t="inlineStr">
        <is>
          <t>Day 12</t>
        </is>
      </c>
      <c r="C28" s="74" t="inlineStr">
        <is>
          <t>Fri</t>
        </is>
      </c>
      <c r="D28" s="75" t="inlineStr">
        <is>
          <t>Joints and Body Movements</t>
        </is>
      </c>
      <c r="E28" s="76" t="n">
        <v>6</v>
      </c>
      <c r="F28" s="77" t="inlineStr">
        <is>
          <t>—</t>
        </is>
      </c>
      <c r="G28" s="71" t="inlineStr">
        <is>
          <t>—</t>
        </is>
      </c>
      <c r="H28" s="72" t="inlineStr">
        <is>
          <t>https://openstax.org/books/anatomy-and-physiology-2e/pages/9-1-classification-of-joints</t>
        </is>
      </c>
      <c r="I28" s="74" t="inlineStr">
        <is>
          <t>Pending</t>
        </is>
      </c>
      <c r="J28" s="60" t="n"/>
      <c r="K28" s="60" t="n"/>
      <c r="L28" s="60" t="n"/>
      <c r="M28" s="60" t="n"/>
      <c r="N28" s="60" t="n"/>
      <c r="O28" s="60" t="n"/>
      <c r="P28" s="60" t="n"/>
      <c r="Q28" s="60" t="n"/>
      <c r="R28" s="60" t="n"/>
      <c r="S28" s="60" t="n"/>
    </row>
    <row r="29" ht="21.75" customHeight="1" s="50">
      <c r="A29" s="62" t="n">
        <v>6</v>
      </c>
      <c r="B29" s="62" t="n"/>
      <c r="C29" s="62" t="inlineStr">
        <is>
          <t>Wk 4</t>
        </is>
      </c>
      <c r="D29" s="63" t="inlineStr">
        <is>
          <t>Module 6: Muscular System</t>
        </is>
      </c>
      <c r="E29" s="64" t="n">
        <v>22</v>
      </c>
      <c r="F29" s="62" t="inlineStr">
        <is>
          <t>3 topics</t>
        </is>
      </c>
      <c r="G29" s="62" t="n"/>
      <c r="H29" s="62" t="n"/>
      <c r="I29" s="62" t="n"/>
      <c r="J29" s="60" t="n"/>
      <c r="K29" s="60" t="n"/>
      <c r="L29" s="60" t="n"/>
      <c r="M29" s="60" t="n"/>
      <c r="N29" s="60" t="n"/>
      <c r="O29" s="60" t="n"/>
      <c r="P29" s="60" t="n"/>
      <c r="Q29" s="60" t="n"/>
      <c r="R29" s="60" t="n"/>
      <c r="S29" s="60" t="n"/>
    </row>
    <row r="30" ht="19.5" customHeight="1" s="50">
      <c r="A30" s="73" t="n"/>
      <c r="B30" s="74" t="inlineStr">
        <is>
          <t>Day 13</t>
        </is>
      </c>
      <c r="C30" s="74" t="inlineStr">
        <is>
          <t>Mon</t>
        </is>
      </c>
      <c r="D30" s="75" t="inlineStr">
        <is>
          <t>Skeletal Muscle Microanatomy</t>
        </is>
      </c>
      <c r="E30" s="76" t="n">
        <v>6</v>
      </c>
      <c r="F30" s="77" t="inlineStr">
        <is>
          <t>—</t>
        </is>
      </c>
      <c r="G30" s="71" t="inlineStr">
        <is>
          <t>—</t>
        </is>
      </c>
      <c r="H30" s="72" t="inlineStr">
        <is>
          <t>https://openstax.org/books/anatomy-and-physiology-2e/pages/10-2-skeletal-muscle</t>
        </is>
      </c>
      <c r="I30" s="74" t="inlineStr">
        <is>
          <t>Pending</t>
        </is>
      </c>
      <c r="J30" s="60" t="n"/>
      <c r="K30" s="60" t="n"/>
      <c r="L30" s="60" t="n"/>
      <c r="M30" s="60" t="n"/>
      <c r="N30" s="60" t="n"/>
      <c r="O30" s="60" t="n"/>
      <c r="P30" s="60" t="n"/>
      <c r="Q30" s="60" t="n"/>
      <c r="R30" s="60" t="n"/>
      <c r="S30" s="60" t="n"/>
    </row>
    <row r="31" ht="19.5" customHeight="1" s="50">
      <c r="A31" s="66" t="n"/>
      <c r="B31" s="67" t="inlineStr">
        <is>
          <t>Day 13</t>
        </is>
      </c>
      <c r="C31" s="67" t="inlineStr">
        <is>
          <t>Mon</t>
        </is>
      </c>
      <c r="D31" s="68" t="inlineStr">
        <is>
          <t>Motor Units and Muscle Mechanics</t>
        </is>
      </c>
      <c r="E31" s="69" t="n">
        <v>6</v>
      </c>
      <c r="F31" s="77" t="inlineStr">
        <is>
          <t>—</t>
        </is>
      </c>
      <c r="G31" s="71" t="inlineStr">
        <is>
          <t>—</t>
        </is>
      </c>
      <c r="H31" s="72" t="inlineStr">
        <is>
          <t>https://openstax.org/books/anatomy-and-physiology-2e/pages/10-4-nervous-system-control-of-muscle-tension</t>
        </is>
      </c>
      <c r="I31" s="67" t="inlineStr">
        <is>
          <t>Pending</t>
        </is>
      </c>
      <c r="J31" s="60" t="n"/>
      <c r="K31" s="60" t="n"/>
      <c r="L31" s="60" t="n"/>
      <c r="M31" s="60" t="n"/>
      <c r="N31" s="60" t="n"/>
      <c r="O31" s="60" t="n"/>
      <c r="P31" s="60" t="n"/>
      <c r="Q31" s="60" t="n"/>
      <c r="R31" s="60" t="n"/>
      <c r="S31" s="60" t="n"/>
    </row>
    <row r="32" ht="19.5" customHeight="1" s="50">
      <c r="A32" s="73" t="n"/>
      <c r="B32" s="74" t="inlineStr">
        <is>
          <t>Day 14</t>
        </is>
      </c>
      <c r="C32" s="74" t="inlineStr">
        <is>
          <t>Tue</t>
        </is>
      </c>
      <c r="D32" s="75" t="inlineStr">
        <is>
          <t>Sliding Filament and the Cross-Bridge Cycle</t>
        </is>
      </c>
      <c r="E32" s="76" t="n">
        <v>10</v>
      </c>
      <c r="F32" s="77" t="inlineStr">
        <is>
          <t>—</t>
        </is>
      </c>
      <c r="G32" s="71" t="inlineStr">
        <is>
          <t>—</t>
        </is>
      </c>
      <c r="H32" s="72" t="inlineStr">
        <is>
          <t>https://openstax.org/books/anatomy-and-physiology-2e/pages/10-3-muscle-fiber-contraction-and-relaxation</t>
        </is>
      </c>
      <c r="I32" s="74" t="inlineStr">
        <is>
          <t>Pending</t>
        </is>
      </c>
      <c r="J32" s="60" t="n"/>
      <c r="K32" s="60" t="n"/>
      <c r="L32" s="60" t="n"/>
      <c r="M32" s="60" t="n"/>
      <c r="N32" s="60" t="n"/>
      <c r="O32" s="60" t="n"/>
      <c r="P32" s="60" t="n"/>
      <c r="Q32" s="60" t="n"/>
      <c r="R32" s="60" t="n"/>
      <c r="S32" s="60" t="n"/>
    </row>
    <row r="33" ht="21.75" customHeight="1" s="50">
      <c r="A33" s="62" t="n">
        <v>7</v>
      </c>
      <c r="B33" s="62" t="n"/>
      <c r="C33" s="62" t="inlineStr">
        <is>
          <t>Wk 4</t>
        </is>
      </c>
      <c r="D33" s="63" t="inlineStr">
        <is>
          <t>Module 7: Nervous System</t>
        </is>
      </c>
      <c r="E33" s="64" t="n">
        <v>30</v>
      </c>
      <c r="F33" s="62" t="inlineStr">
        <is>
          <t>4 topics</t>
        </is>
      </c>
      <c r="G33" s="62" t="n"/>
      <c r="H33" s="62" t="n"/>
      <c r="I33" s="62" t="n"/>
      <c r="J33" s="60" t="n"/>
      <c r="K33" s="60" t="n"/>
      <c r="L33" s="60" t="n"/>
      <c r="M33" s="60" t="n"/>
      <c r="N33" s="60" t="n"/>
      <c r="O33" s="60" t="n"/>
      <c r="P33" s="60" t="n"/>
      <c r="Q33" s="60" t="n"/>
      <c r="R33" s="60" t="n"/>
      <c r="S33" s="60" t="n"/>
    </row>
    <row r="34" ht="19.5" customHeight="1" s="50">
      <c r="A34" s="73" t="n"/>
      <c r="B34" s="74" t="inlineStr">
        <is>
          <t>Day 15</t>
        </is>
      </c>
      <c r="C34" s="74" t="inlineStr">
        <is>
          <t>Thu</t>
        </is>
      </c>
      <c r="D34" s="75" t="inlineStr">
        <is>
          <t>Neurons and Resting Membrane Potential</t>
        </is>
      </c>
      <c r="E34" s="76" t="n">
        <v>6</v>
      </c>
      <c r="F34" s="77" t="inlineStr">
        <is>
          <t>—</t>
        </is>
      </c>
      <c r="G34" s="71" t="inlineStr">
        <is>
          <t>—</t>
        </is>
      </c>
      <c r="H34" s="72" t="inlineStr">
        <is>
          <t>https://openstax.org/books/anatomy-and-physiology-2e/pages/12-2-nervous-tissue</t>
        </is>
      </c>
      <c r="I34" s="74" t="inlineStr">
        <is>
          <t>Pending</t>
        </is>
      </c>
      <c r="J34" s="60" t="n"/>
      <c r="K34" s="60" t="n"/>
      <c r="L34" s="60" t="n"/>
      <c r="M34" s="60" t="n"/>
      <c r="N34" s="60" t="n"/>
      <c r="O34" s="60" t="n"/>
      <c r="P34" s="60" t="n"/>
      <c r="Q34" s="60" t="n"/>
      <c r="R34" s="60" t="n"/>
      <c r="S34" s="60" t="n"/>
    </row>
    <row r="35" ht="19.5" customHeight="1" s="50">
      <c r="A35" s="66" t="n"/>
      <c r="B35" s="67" t="inlineStr">
        <is>
          <t>Day 16</t>
        </is>
      </c>
      <c r="C35" s="67" t="inlineStr">
        <is>
          <t>Fri</t>
        </is>
      </c>
      <c r="D35" s="68" t="inlineStr">
        <is>
          <t>Action Potentials and Synaptic Transmission</t>
        </is>
      </c>
      <c r="E35" s="69" t="n">
        <v>12</v>
      </c>
      <c r="F35" s="77" t="inlineStr">
        <is>
          <t>—</t>
        </is>
      </c>
      <c r="G35" s="71" t="inlineStr">
        <is>
          <t>—</t>
        </is>
      </c>
      <c r="H35" s="72" t="inlineStr">
        <is>
          <t>https://openstax.org/books/anatomy-and-physiology-2e/pages/12-4-the-action-potential</t>
        </is>
      </c>
      <c r="I35" s="67" t="inlineStr">
        <is>
          <t>Pending</t>
        </is>
      </c>
      <c r="J35" s="60" t="n"/>
      <c r="K35" s="60" t="n"/>
      <c r="L35" s="60" t="n"/>
      <c r="M35" s="60" t="n"/>
      <c r="N35" s="60" t="n"/>
      <c r="O35" s="60" t="n"/>
      <c r="P35" s="60" t="n"/>
      <c r="Q35" s="60" t="n"/>
      <c r="R35" s="60" t="n"/>
      <c r="S35" s="60" t="n"/>
    </row>
    <row r="36" ht="19.5" customHeight="1" s="50">
      <c r="A36" s="73" t="n"/>
      <c r="B36" s="74" t="inlineStr">
        <is>
          <t>Day 17</t>
        </is>
      </c>
      <c r="C36" s="74" t="inlineStr">
        <is>
          <t>Mon</t>
        </is>
      </c>
      <c r="D36" s="75" t="inlineStr">
        <is>
          <t>CNS Organization: Brain and Spinal Cord</t>
        </is>
      </c>
      <c r="E36" s="76" t="n">
        <v>6</v>
      </c>
      <c r="F36" s="77" t="inlineStr">
        <is>
          <t>—</t>
        </is>
      </c>
      <c r="G36" s="71" t="inlineStr">
        <is>
          <t>—</t>
        </is>
      </c>
      <c r="H36" s="72" t="inlineStr">
        <is>
          <t>https://openstax.org/books/anatomy-and-physiology-2e/pages/13-2-the-central-nervous-system</t>
        </is>
      </c>
      <c r="I36" s="74" t="inlineStr">
        <is>
          <t>Pending</t>
        </is>
      </c>
      <c r="J36" s="60" t="n"/>
      <c r="K36" s="60" t="n"/>
      <c r="L36" s="60" t="n"/>
      <c r="M36" s="60" t="n"/>
      <c r="N36" s="60" t="n"/>
      <c r="O36" s="60" t="n"/>
      <c r="P36" s="60" t="n"/>
      <c r="Q36" s="60" t="n"/>
      <c r="R36" s="60" t="n"/>
      <c r="S36" s="60" t="n"/>
    </row>
    <row r="37" ht="19.5" customHeight="1" s="50">
      <c r="A37" s="66" t="n"/>
      <c r="B37" s="67" t="inlineStr">
        <is>
          <t>Day 18</t>
        </is>
      </c>
      <c r="C37" s="67" t="inlineStr">
        <is>
          <t>Tue</t>
        </is>
      </c>
      <c r="D37" s="68" t="inlineStr">
        <is>
          <t>PNS and Autonomic Nervous System</t>
        </is>
      </c>
      <c r="E37" s="69" t="n">
        <v>6</v>
      </c>
      <c r="F37" s="77" t="inlineStr">
        <is>
          <t>—</t>
        </is>
      </c>
      <c r="G37" s="71" t="inlineStr">
        <is>
          <t>—</t>
        </is>
      </c>
      <c r="H37" s="72" t="inlineStr">
        <is>
          <t>https://openstax.org/books/anatomy-and-physiology-2e/pages/15-1-divisions-of-the-autonomic-nervous-system</t>
        </is>
      </c>
      <c r="I37" s="67" t="inlineStr">
        <is>
          <t>Pending</t>
        </is>
      </c>
      <c r="J37" s="60" t="n"/>
      <c r="K37" s="60" t="n"/>
      <c r="L37" s="60" t="n"/>
      <c r="M37" s="60" t="n"/>
      <c r="N37" s="60" t="n"/>
      <c r="O37" s="60" t="n"/>
      <c r="P37" s="60" t="n"/>
      <c r="Q37" s="60" t="n"/>
      <c r="R37" s="60" t="n"/>
      <c r="S37" s="60" t="n"/>
    </row>
    <row r="38" ht="21.75" customHeight="1" s="50">
      <c r="A38" s="62" t="n">
        <v>8</v>
      </c>
      <c r="B38" s="62" t="n"/>
      <c r="C38" s="62" t="inlineStr">
        <is>
          <t>Wk 5</t>
        </is>
      </c>
      <c r="D38" s="63" t="inlineStr">
        <is>
          <t>Module 8: Special Senses</t>
        </is>
      </c>
      <c r="E38" s="64" t="n">
        <v>11</v>
      </c>
      <c r="F38" s="62" t="inlineStr">
        <is>
          <t>2 topics</t>
        </is>
      </c>
      <c r="G38" s="62" t="n"/>
      <c r="H38" s="62" t="n"/>
      <c r="I38" s="62" t="n"/>
      <c r="J38" s="60" t="n"/>
      <c r="K38" s="60" t="n"/>
      <c r="L38" s="60" t="n"/>
      <c r="M38" s="60" t="n"/>
      <c r="N38" s="60" t="n"/>
      <c r="O38" s="60" t="n"/>
      <c r="P38" s="60" t="n"/>
      <c r="Q38" s="60" t="n"/>
      <c r="R38" s="60" t="n"/>
      <c r="S38" s="60" t="n"/>
    </row>
    <row r="39" ht="19.5" customHeight="1" s="50">
      <c r="A39" s="66" t="n"/>
      <c r="B39" s="67" t="inlineStr">
        <is>
          <t>Day 19</t>
        </is>
      </c>
      <c r="C39" s="67" t="inlineStr">
        <is>
          <t>Thu</t>
        </is>
      </c>
      <c r="D39" s="68" t="inlineStr">
        <is>
          <t>Vision</t>
        </is>
      </c>
      <c r="E39" s="69" t="n">
        <v>6</v>
      </c>
      <c r="F39" s="77" t="inlineStr">
        <is>
          <t>—</t>
        </is>
      </c>
      <c r="G39" s="71" t="inlineStr">
        <is>
          <t>—</t>
        </is>
      </c>
      <c r="H39" s="72" t="inlineStr">
        <is>
          <t>https://openstax.org/books/anatomy-and-physiology-2e/pages/14-1-sensory-perception</t>
        </is>
      </c>
      <c r="I39" s="67" t="inlineStr">
        <is>
          <t>Pending</t>
        </is>
      </c>
      <c r="J39" s="60" t="n"/>
      <c r="K39" s="60" t="n"/>
      <c r="L39" s="60" t="n"/>
      <c r="M39" s="60" t="n"/>
      <c r="N39" s="60" t="n"/>
      <c r="O39" s="60" t="n"/>
      <c r="P39" s="60" t="n"/>
      <c r="Q39" s="60" t="n"/>
      <c r="R39" s="60" t="n"/>
      <c r="S39" s="60" t="n"/>
    </row>
    <row r="40" ht="19.5" customHeight="1" s="50">
      <c r="A40" s="73" t="n"/>
      <c r="B40" s="74" t="inlineStr">
        <is>
          <t>Day 19</t>
        </is>
      </c>
      <c r="C40" s="74" t="inlineStr">
        <is>
          <t>Thu</t>
        </is>
      </c>
      <c r="D40" s="75" t="inlineStr">
        <is>
          <t>Hearing and Equilibrium</t>
        </is>
      </c>
      <c r="E40" s="76" t="n">
        <v>5</v>
      </c>
      <c r="F40" s="77" t="inlineStr">
        <is>
          <t>—</t>
        </is>
      </c>
      <c r="G40" s="71" t="inlineStr">
        <is>
          <t>—</t>
        </is>
      </c>
      <c r="H40" s="72" t="inlineStr">
        <is>
          <t>https://openstax.org/books/anatomy-and-physiology-2e/pages/14-1-sensory-perception</t>
        </is>
      </c>
      <c r="I40" s="74" t="inlineStr">
        <is>
          <t>Pending</t>
        </is>
      </c>
      <c r="J40" s="60" t="n"/>
      <c r="K40" s="60" t="n"/>
      <c r="L40" s="60" t="n"/>
      <c r="M40" s="60" t="n"/>
      <c r="N40" s="60" t="n"/>
      <c r="O40" s="60" t="n"/>
      <c r="P40" s="60" t="n"/>
      <c r="Q40" s="60" t="n"/>
      <c r="R40" s="60" t="n"/>
      <c r="S40" s="60" t="n"/>
    </row>
    <row r="41" ht="21.75" customHeight="1" s="50">
      <c r="A41" s="62" t="n">
        <v>9</v>
      </c>
      <c r="B41" s="62" t="n"/>
      <c r="C41" s="62" t="inlineStr">
        <is>
          <t>Wk 5</t>
        </is>
      </c>
      <c r="D41" s="63" t="inlineStr">
        <is>
          <t>Module 9: Endocrine System</t>
        </is>
      </c>
      <c r="E41" s="64" t="n">
        <v>11</v>
      </c>
      <c r="F41" s="62" t="inlineStr">
        <is>
          <t>2 topics</t>
        </is>
      </c>
      <c r="G41" s="62" t="n"/>
      <c r="H41" s="62" t="n"/>
      <c r="I41" s="62" t="n"/>
      <c r="J41" s="60" t="n"/>
      <c r="K41" s="60" t="n"/>
      <c r="L41" s="60" t="n"/>
      <c r="M41" s="60" t="n"/>
      <c r="N41" s="60" t="n"/>
      <c r="O41" s="60" t="n"/>
      <c r="P41" s="60" t="n"/>
      <c r="Q41" s="60" t="n"/>
      <c r="R41" s="60" t="n"/>
      <c r="S41" s="60" t="n"/>
    </row>
    <row r="42" ht="19.5" customHeight="1" s="50">
      <c r="A42" s="73" t="n"/>
      <c r="B42" s="74" t="inlineStr">
        <is>
          <t>Day 20</t>
        </is>
      </c>
      <c r="C42" s="74" t="inlineStr">
        <is>
          <t>Fri</t>
        </is>
      </c>
      <c r="D42" s="75" t="inlineStr">
        <is>
          <t>Hormone Mechanisms</t>
        </is>
      </c>
      <c r="E42" s="76" t="n">
        <v>5</v>
      </c>
      <c r="F42" s="77" t="inlineStr">
        <is>
          <t>—</t>
        </is>
      </c>
      <c r="G42" s="71" t="inlineStr">
        <is>
          <t>—</t>
        </is>
      </c>
      <c r="H42" s="72" t="inlineStr">
        <is>
          <t>https://openstax.org/books/anatomy-and-physiology-2e/pages/17-2-hormones</t>
        </is>
      </c>
      <c r="I42" s="74" t="inlineStr">
        <is>
          <t>Pending</t>
        </is>
      </c>
      <c r="J42" s="60" t="n"/>
      <c r="K42" s="60" t="n"/>
      <c r="L42" s="60" t="n"/>
      <c r="M42" s="60" t="n"/>
      <c r="N42" s="60" t="n"/>
      <c r="O42" s="60" t="n"/>
      <c r="P42" s="60" t="n"/>
      <c r="Q42" s="60" t="n"/>
      <c r="R42" s="60" t="n"/>
      <c r="S42" s="60" t="n"/>
    </row>
    <row r="43" ht="19.5" customHeight="1" s="50">
      <c r="A43" s="66" t="n"/>
      <c r="B43" s="67" t="inlineStr">
        <is>
          <t>Day 20</t>
        </is>
      </c>
      <c r="C43" s="67" t="inlineStr">
        <is>
          <t>Fri</t>
        </is>
      </c>
      <c r="D43" s="68" t="inlineStr">
        <is>
          <t>Major Endocrine Glands</t>
        </is>
      </c>
      <c r="E43" s="69" t="n">
        <v>6</v>
      </c>
      <c r="F43" s="77" t="inlineStr">
        <is>
          <t>—</t>
        </is>
      </c>
      <c r="G43" s="71" t="inlineStr">
        <is>
          <t>—</t>
        </is>
      </c>
      <c r="H43" s="72" t="inlineStr">
        <is>
          <t>https://openstax.org/books/anatomy-and-physiology-2e/pages/17-1-an-overview-of-the-endocrine-system</t>
        </is>
      </c>
      <c r="I43" s="67" t="inlineStr">
        <is>
          <t>Pending</t>
        </is>
      </c>
      <c r="J43" s="60" t="n"/>
      <c r="K43" s="60" t="n"/>
      <c r="L43" s="60" t="n"/>
      <c r="M43" s="60" t="n"/>
      <c r="N43" s="60" t="n"/>
      <c r="O43" s="60" t="n"/>
      <c r="P43" s="60" t="n"/>
      <c r="Q43" s="60" t="n"/>
      <c r="R43" s="60" t="n"/>
      <c r="S43" s="60" t="n"/>
    </row>
    <row r="44" ht="21.75" customHeight="1" s="50">
      <c r="A44" s="62" t="n">
        <v>10</v>
      </c>
      <c r="B44" s="62" t="n"/>
      <c r="C44" s="62" t="inlineStr">
        <is>
          <t>Wk 6</t>
        </is>
      </c>
      <c r="D44" s="63" t="inlineStr">
        <is>
          <t>Module 10: Blood</t>
        </is>
      </c>
      <c r="E44" s="64" t="n">
        <v>12</v>
      </c>
      <c r="F44" s="62" t="inlineStr">
        <is>
          <t>2 topics</t>
        </is>
      </c>
      <c r="G44" s="62" t="n"/>
      <c r="H44" s="62" t="n"/>
      <c r="I44" s="62" t="n"/>
      <c r="J44" s="60" t="n"/>
      <c r="K44" s="60" t="n"/>
      <c r="L44" s="60" t="n"/>
      <c r="M44" s="60" t="n"/>
      <c r="N44" s="60" t="n"/>
      <c r="O44" s="60" t="n"/>
      <c r="P44" s="60" t="n"/>
      <c r="Q44" s="60" t="n"/>
      <c r="R44" s="60" t="n"/>
      <c r="S44" s="60" t="n"/>
    </row>
    <row r="45" ht="19.5" customHeight="1" s="50">
      <c r="A45" s="66" t="n"/>
      <c r="B45" s="67" t="inlineStr">
        <is>
          <t>Day 21</t>
        </is>
      </c>
      <c r="C45" s="67" t="inlineStr">
        <is>
          <t>Mon</t>
        </is>
      </c>
      <c r="D45" s="68" t="inlineStr">
        <is>
          <t>Blood Composition and Hemopoiesis</t>
        </is>
      </c>
      <c r="E45" s="69" t="n">
        <v>6</v>
      </c>
      <c r="F45" s="77" t="inlineStr">
        <is>
          <t>—</t>
        </is>
      </c>
      <c r="G45" s="71" t="inlineStr">
        <is>
          <t>—</t>
        </is>
      </c>
      <c r="H45" s="72" t="inlineStr">
        <is>
          <t>https://openstax.org/books/anatomy-and-physiology-2e/pages/18-1-functions-of-blood</t>
        </is>
      </c>
      <c r="I45" s="67" t="inlineStr">
        <is>
          <t>Pending</t>
        </is>
      </c>
      <c r="J45" s="60" t="n"/>
      <c r="K45" s="60" t="n"/>
      <c r="L45" s="60" t="n"/>
      <c r="M45" s="60" t="n"/>
      <c r="N45" s="60" t="n"/>
      <c r="O45" s="60" t="n"/>
      <c r="P45" s="60" t="n"/>
      <c r="Q45" s="60" t="n"/>
      <c r="R45" s="60" t="n"/>
      <c r="S45" s="60" t="n"/>
    </row>
    <row r="46" ht="19.5" customHeight="1" s="50">
      <c r="A46" s="73" t="n"/>
      <c r="B46" s="74" t="inlineStr">
        <is>
          <t>Day 21</t>
        </is>
      </c>
      <c r="C46" s="74" t="inlineStr">
        <is>
          <t>Mon</t>
        </is>
      </c>
      <c r="D46" s="75" t="inlineStr">
        <is>
          <t>Hemostasis and Blood Typing</t>
        </is>
      </c>
      <c r="E46" s="76" t="n">
        <v>6</v>
      </c>
      <c r="F46" s="77" t="inlineStr">
        <is>
          <t>—</t>
        </is>
      </c>
      <c r="G46" s="71" t="inlineStr">
        <is>
          <t>—</t>
        </is>
      </c>
      <c r="H46" s="72" t="inlineStr">
        <is>
          <t>https://openstax.org/books/anatomy-and-physiology-2e/pages/18-5-hemostasis</t>
        </is>
      </c>
      <c r="I46" s="74" t="inlineStr">
        <is>
          <t>Pending</t>
        </is>
      </c>
      <c r="J46" s="60" t="n"/>
      <c r="K46" s="60" t="n"/>
      <c r="L46" s="60" t="n"/>
      <c r="M46" s="60" t="n"/>
      <c r="N46" s="60" t="n"/>
      <c r="O46" s="60" t="n"/>
      <c r="P46" s="60" t="n"/>
      <c r="Q46" s="60" t="n"/>
      <c r="R46" s="60" t="n"/>
      <c r="S46" s="60" t="n"/>
    </row>
    <row r="47" ht="21.75" customHeight="1" s="50">
      <c r="A47" s="62" t="n">
        <v>11</v>
      </c>
      <c r="B47" s="62" t="n"/>
      <c r="C47" s="62" t="inlineStr">
        <is>
          <t>Wk 6</t>
        </is>
      </c>
      <c r="D47" s="63" t="inlineStr">
        <is>
          <t>Module 11: Cardiovascular System</t>
        </is>
      </c>
      <c r="E47" s="64" t="n">
        <v>25</v>
      </c>
      <c r="F47" s="62" t="inlineStr">
        <is>
          <t>3 topics</t>
        </is>
      </c>
      <c r="G47" s="62" t="n"/>
      <c r="H47" s="62" t="n"/>
      <c r="I47" s="62" t="n"/>
      <c r="J47" s="60" t="n"/>
      <c r="K47" s="60" t="n"/>
      <c r="L47" s="60" t="n"/>
      <c r="M47" s="60" t="n"/>
      <c r="N47" s="60" t="n"/>
      <c r="O47" s="60" t="n"/>
      <c r="P47" s="60" t="n"/>
      <c r="Q47" s="60" t="n"/>
      <c r="R47" s="60" t="n"/>
      <c r="S47" s="60" t="n"/>
    </row>
    <row r="48" ht="19.5" customHeight="1" s="50">
      <c r="A48" s="73" t="n"/>
      <c r="B48" s="74" t="inlineStr">
        <is>
          <t>Day 22</t>
        </is>
      </c>
      <c r="C48" s="74" t="inlineStr">
        <is>
          <t>Tue</t>
        </is>
      </c>
      <c r="D48" s="75" t="inlineStr">
        <is>
          <t>Heart Anatomy and the Cardiac Cycle</t>
        </is>
      </c>
      <c r="E48" s="76" t="n">
        <v>12</v>
      </c>
      <c r="F48" s="77" t="inlineStr">
        <is>
          <t>—</t>
        </is>
      </c>
      <c r="G48" s="71" t="inlineStr">
        <is>
          <t>—</t>
        </is>
      </c>
      <c r="H48" s="72" t="inlineStr">
        <is>
          <t>https://openstax.org/books/anatomy-and-physiology-2e/pages/19-1-heart-anatomy</t>
        </is>
      </c>
      <c r="I48" s="74" t="inlineStr">
        <is>
          <t>Pending</t>
        </is>
      </c>
      <c r="J48" s="60" t="n"/>
      <c r="K48" s="60" t="n"/>
      <c r="L48" s="60" t="n"/>
      <c r="M48" s="60" t="n"/>
      <c r="N48" s="60" t="n"/>
      <c r="O48" s="60" t="n"/>
      <c r="P48" s="60" t="n"/>
      <c r="Q48" s="60" t="n"/>
      <c r="R48" s="60" t="n"/>
      <c r="S48" s="60" t="n"/>
    </row>
    <row r="49" ht="19.5" customHeight="1" s="50">
      <c r="A49" s="66" t="n"/>
      <c r="B49" s="67" t="inlineStr">
        <is>
          <t>Day 23</t>
        </is>
      </c>
      <c r="C49" s="67" t="inlineStr">
        <is>
          <t>Thu</t>
        </is>
      </c>
      <c r="D49" s="68" t="inlineStr">
        <is>
          <t>Cardiac Conduction System</t>
        </is>
      </c>
      <c r="E49" s="69" t="n">
        <v>8</v>
      </c>
      <c r="F49" s="77" t="inlineStr">
        <is>
          <t>—</t>
        </is>
      </c>
      <c r="G49" s="71" t="inlineStr">
        <is>
          <t>—</t>
        </is>
      </c>
      <c r="H49" s="72" t="inlineStr">
        <is>
          <t>https://openstax.org/books/anatomy-and-physiology-2e/pages/19-2-cardiac-muscle-and-electrical-activity</t>
        </is>
      </c>
      <c r="I49" s="67" t="inlineStr">
        <is>
          <t>Pending</t>
        </is>
      </c>
      <c r="J49" s="60" t="n"/>
      <c r="K49" s="60" t="n"/>
      <c r="L49" s="60" t="n"/>
      <c r="M49" s="60" t="n"/>
      <c r="N49" s="60" t="n"/>
      <c r="O49" s="60" t="n"/>
      <c r="P49" s="60" t="n"/>
      <c r="Q49" s="60" t="n"/>
      <c r="R49" s="60" t="n"/>
      <c r="S49" s="60" t="n"/>
    </row>
    <row r="50" ht="19.5" customHeight="1" s="50">
      <c r="A50" s="73" t="n"/>
      <c r="B50" s="74" t="inlineStr">
        <is>
          <t>Day 24</t>
        </is>
      </c>
      <c r="C50" s="74" t="inlineStr">
        <is>
          <t>Fri</t>
        </is>
      </c>
      <c r="D50" s="75" t="inlineStr">
        <is>
          <t>Blood Vessels and Hemodynamics</t>
        </is>
      </c>
      <c r="E50" s="76" t="n">
        <v>5</v>
      </c>
      <c r="F50" s="77" t="inlineStr">
        <is>
          <t>—</t>
        </is>
      </c>
      <c r="G50" s="71" t="inlineStr">
        <is>
          <t>—</t>
        </is>
      </c>
      <c r="H50" s="72" t="inlineStr">
        <is>
          <t>https://openstax.org/books/anatomy-and-physiology-2e/pages/20-2-blood-flow-blood-pressure-and-resistance</t>
        </is>
      </c>
      <c r="I50" s="74" t="inlineStr">
        <is>
          <t>Pending</t>
        </is>
      </c>
      <c r="J50" s="60" t="n"/>
      <c r="K50" s="60" t="n"/>
      <c r="L50" s="60" t="n"/>
      <c r="M50" s="60" t="n"/>
      <c r="N50" s="60" t="n"/>
      <c r="O50" s="60" t="n"/>
      <c r="P50" s="60" t="n"/>
      <c r="Q50" s="60" t="n"/>
      <c r="R50" s="60" t="n"/>
      <c r="S50" s="60" t="n"/>
    </row>
    <row r="51" ht="21.75" customHeight="1" s="50">
      <c r="A51" s="62" t="n">
        <v>12</v>
      </c>
      <c r="B51" s="62" t="n"/>
      <c r="C51" s="62" t="inlineStr">
        <is>
          <t>Wk 7</t>
        </is>
      </c>
      <c r="D51" s="63" t="inlineStr">
        <is>
          <t>Module 12: Lymphatic and Immune System</t>
        </is>
      </c>
      <c r="E51" s="64" t="n">
        <v>17</v>
      </c>
      <c r="F51" s="62" t="inlineStr">
        <is>
          <t>2 topics</t>
        </is>
      </c>
      <c r="G51" s="62" t="n"/>
      <c r="H51" s="62" t="n"/>
      <c r="I51" s="62" t="n"/>
      <c r="J51" s="60" t="n"/>
      <c r="K51" s="60" t="n"/>
      <c r="L51" s="60" t="n"/>
      <c r="M51" s="60" t="n"/>
      <c r="N51" s="60" t="n"/>
      <c r="O51" s="60" t="n"/>
      <c r="P51" s="60" t="n"/>
      <c r="Q51" s="60" t="n"/>
      <c r="R51" s="60" t="n"/>
      <c r="S51" s="60" t="n"/>
    </row>
    <row r="52" ht="19.5" customHeight="1" s="50">
      <c r="A52" s="73" t="n"/>
      <c r="B52" s="74" t="inlineStr">
        <is>
          <t>Day 25</t>
        </is>
      </c>
      <c r="C52" s="74" t="inlineStr">
        <is>
          <t>Mon</t>
        </is>
      </c>
      <c r="D52" s="75" t="inlineStr">
        <is>
          <t>Lymphatic System and Innate Immunity</t>
        </is>
      </c>
      <c r="E52" s="76" t="n">
        <v>5</v>
      </c>
      <c r="F52" s="77" t="inlineStr">
        <is>
          <t>—</t>
        </is>
      </c>
      <c r="G52" s="71" t="inlineStr">
        <is>
          <t>—</t>
        </is>
      </c>
      <c r="H52" s="72" t="inlineStr">
        <is>
          <t>https://openstax.org/books/anatomy-and-physiology-2e/pages/21-2-barrier-defenses-and-the-innate-immune-response</t>
        </is>
      </c>
      <c r="I52" s="74" t="inlineStr">
        <is>
          <t>Pending</t>
        </is>
      </c>
      <c r="J52" s="60" t="n"/>
      <c r="K52" s="60" t="n"/>
      <c r="L52" s="60" t="n"/>
      <c r="M52" s="60" t="n"/>
      <c r="N52" s="60" t="n"/>
      <c r="O52" s="60" t="n"/>
      <c r="P52" s="60" t="n"/>
      <c r="Q52" s="60" t="n"/>
      <c r="R52" s="60" t="n"/>
      <c r="S52" s="60" t="n"/>
    </row>
    <row r="53" ht="19.5" customHeight="1" s="50">
      <c r="A53" s="66" t="n"/>
      <c r="B53" s="67" t="inlineStr">
        <is>
          <t>Day 26</t>
        </is>
      </c>
      <c r="C53" s="67" t="inlineStr">
        <is>
          <t>Tue</t>
        </is>
      </c>
      <c r="D53" s="68" t="inlineStr">
        <is>
          <t>Adaptive Immunity</t>
        </is>
      </c>
      <c r="E53" s="69" t="n">
        <v>12</v>
      </c>
      <c r="F53" s="77" t="inlineStr">
        <is>
          <t>—</t>
        </is>
      </c>
      <c r="G53" s="71" t="inlineStr">
        <is>
          <t>—</t>
        </is>
      </c>
      <c r="H53" s="72" t="inlineStr">
        <is>
          <t>https://openstax.org/books/anatomy-and-physiology-2e/pages/21-3-the-adaptive-immune-response-t-lymphocytes-and-their-functional-types</t>
        </is>
      </c>
      <c r="I53" s="67" t="inlineStr">
        <is>
          <t>Pending</t>
        </is>
      </c>
      <c r="J53" s="60" t="n"/>
      <c r="K53" s="60" t="n"/>
      <c r="L53" s="60" t="n"/>
      <c r="M53" s="60" t="n"/>
      <c r="N53" s="60" t="n"/>
      <c r="O53" s="60" t="n"/>
      <c r="P53" s="60" t="n"/>
      <c r="Q53" s="60" t="n"/>
      <c r="R53" s="60" t="n"/>
      <c r="S53" s="60" t="n"/>
    </row>
    <row r="54" ht="21.75" customHeight="1" s="50">
      <c r="A54" s="62" t="n">
        <v>13</v>
      </c>
      <c r="B54" s="62" t="n"/>
      <c r="C54" s="62" t="inlineStr">
        <is>
          <t>Wk 7</t>
        </is>
      </c>
      <c r="D54" s="63" t="inlineStr">
        <is>
          <t>Module 13: Respiratory System</t>
        </is>
      </c>
      <c r="E54" s="64" t="n">
        <v>18</v>
      </c>
      <c r="F54" s="62" t="inlineStr">
        <is>
          <t>2 topics</t>
        </is>
      </c>
      <c r="G54" s="62" t="n"/>
      <c r="H54" s="62" t="n"/>
      <c r="I54" s="62" t="n"/>
      <c r="J54" s="60" t="n"/>
      <c r="K54" s="60" t="n"/>
      <c r="L54" s="60" t="n"/>
      <c r="M54" s="60" t="n"/>
      <c r="N54" s="60" t="n"/>
      <c r="O54" s="60" t="n"/>
      <c r="P54" s="60" t="n"/>
      <c r="Q54" s="60" t="n"/>
      <c r="R54" s="60" t="n"/>
      <c r="S54" s="60" t="n"/>
    </row>
    <row r="55" ht="19.5" customHeight="1" s="50">
      <c r="A55" s="66" t="n"/>
      <c r="B55" s="67" t="inlineStr">
        <is>
          <t>Day 27</t>
        </is>
      </c>
      <c r="C55" s="67" t="inlineStr">
        <is>
          <t>Thu</t>
        </is>
      </c>
      <c r="D55" s="68" t="inlineStr">
        <is>
          <t>Respiratory Anatomy and Mechanics</t>
        </is>
      </c>
      <c r="E55" s="69" t="n">
        <v>6</v>
      </c>
      <c r="F55" s="77" t="inlineStr">
        <is>
          <t>—</t>
        </is>
      </c>
      <c r="G55" s="71" t="inlineStr">
        <is>
          <t>—</t>
        </is>
      </c>
      <c r="H55" s="72" t="inlineStr">
        <is>
          <t>https://openstax.org/books/anatomy-and-physiology-2e/pages/22-1-organs-and-structures-of-the-respiratory-system</t>
        </is>
      </c>
      <c r="I55" s="67" t="inlineStr">
        <is>
          <t>Pending</t>
        </is>
      </c>
      <c r="J55" s="60" t="n"/>
      <c r="K55" s="60" t="n"/>
      <c r="L55" s="60" t="n"/>
      <c r="M55" s="60" t="n"/>
      <c r="N55" s="60" t="n"/>
      <c r="O55" s="60" t="n"/>
      <c r="P55" s="60" t="n"/>
      <c r="Q55" s="60" t="n"/>
      <c r="R55" s="60" t="n"/>
      <c r="S55" s="60" t="n"/>
    </row>
    <row r="56" ht="19.5" customHeight="1" s="50">
      <c r="A56" s="73" t="n"/>
      <c r="B56" s="74" t="inlineStr">
        <is>
          <t>Day 27</t>
        </is>
      </c>
      <c r="C56" s="74" t="inlineStr">
        <is>
          <t>Thu</t>
        </is>
      </c>
      <c r="D56" s="75" t="inlineStr">
        <is>
          <t>Gas Exchange and Transport</t>
        </is>
      </c>
      <c r="E56" s="76" t="n">
        <v>12</v>
      </c>
      <c r="F56" s="77" t="inlineStr">
        <is>
          <t>—</t>
        </is>
      </c>
      <c r="G56" s="71" t="inlineStr">
        <is>
          <t>—</t>
        </is>
      </c>
      <c r="H56" s="72" t="inlineStr">
        <is>
          <t>https://openstax.org/books/anatomy-and-physiology-2e/pages/22-4-gas-exchange</t>
        </is>
      </c>
      <c r="I56" s="74" t="inlineStr">
        <is>
          <t>Pending</t>
        </is>
      </c>
      <c r="J56" s="60" t="n"/>
      <c r="K56" s="60" t="n"/>
      <c r="L56" s="60" t="n"/>
      <c r="M56" s="60" t="n"/>
      <c r="N56" s="60" t="n"/>
      <c r="O56" s="60" t="n"/>
      <c r="P56" s="60" t="n"/>
      <c r="Q56" s="60" t="n"/>
      <c r="R56" s="60" t="n"/>
      <c r="S56" s="60" t="n"/>
    </row>
    <row r="57" ht="21.75" customHeight="1" s="50">
      <c r="A57" s="62" t="n">
        <v>14</v>
      </c>
      <c r="B57" s="62" t="n"/>
      <c r="C57" s="62" t="inlineStr">
        <is>
          <t>Wk 7</t>
        </is>
      </c>
      <c r="D57" s="63" t="inlineStr">
        <is>
          <t>Module 14: Digestive System</t>
        </is>
      </c>
      <c r="E57" s="64" t="n">
        <v>12</v>
      </c>
      <c r="F57" s="62" t="inlineStr">
        <is>
          <t>2 topics</t>
        </is>
      </c>
      <c r="G57" s="62" t="n"/>
      <c r="H57" s="62" t="n"/>
      <c r="I57" s="62" t="n"/>
      <c r="J57" s="60" t="n"/>
      <c r="K57" s="60" t="n"/>
      <c r="L57" s="60" t="n"/>
      <c r="M57" s="60" t="n"/>
      <c r="N57" s="60" t="n"/>
      <c r="O57" s="60" t="n"/>
      <c r="P57" s="60" t="n"/>
      <c r="Q57" s="60" t="n"/>
      <c r="R57" s="60" t="n"/>
      <c r="S57" s="60" t="n"/>
    </row>
    <row r="58" ht="19.5" customHeight="1" s="50">
      <c r="A58" s="73" t="n"/>
      <c r="B58" s="74" t="inlineStr">
        <is>
          <t>Day 28</t>
        </is>
      </c>
      <c r="C58" s="74" t="inlineStr">
        <is>
          <t>Fri</t>
        </is>
      </c>
      <c r="D58" s="75" t="inlineStr">
        <is>
          <t>GI Tract Anatomy and Motility</t>
        </is>
      </c>
      <c r="E58" s="76" t="n">
        <v>6</v>
      </c>
      <c r="F58" s="77" t="inlineStr">
        <is>
          <t>—</t>
        </is>
      </c>
      <c r="G58" s="71" t="inlineStr">
        <is>
          <t>—</t>
        </is>
      </c>
      <c r="H58" s="72" t="inlineStr">
        <is>
          <t>https://openstax.org/books/anatomy-and-physiology-2e/pages/23-1-overview-of-the-digestive-system</t>
        </is>
      </c>
      <c r="I58" s="74" t="inlineStr">
        <is>
          <t>Pending</t>
        </is>
      </c>
      <c r="J58" s="60" t="n"/>
      <c r="K58" s="60" t="n"/>
      <c r="L58" s="60" t="n"/>
      <c r="M58" s="60" t="n"/>
      <c r="N58" s="60" t="n"/>
      <c r="O58" s="60" t="n"/>
      <c r="P58" s="60" t="n"/>
      <c r="Q58" s="60" t="n"/>
      <c r="R58" s="60" t="n"/>
      <c r="S58" s="60" t="n"/>
    </row>
    <row r="59" ht="19.5" customHeight="1" s="50">
      <c r="A59" s="66" t="n"/>
      <c r="B59" s="67" t="inlineStr">
        <is>
          <t>Day 28</t>
        </is>
      </c>
      <c r="C59" s="67" t="inlineStr">
        <is>
          <t>Fri</t>
        </is>
      </c>
      <c r="D59" s="68" t="inlineStr">
        <is>
          <t>Digestion and Absorption</t>
        </is>
      </c>
      <c r="E59" s="69" t="n">
        <v>6</v>
      </c>
      <c r="F59" s="77" t="inlineStr">
        <is>
          <t>—</t>
        </is>
      </c>
      <c r="G59" s="71" t="inlineStr">
        <is>
          <t>—</t>
        </is>
      </c>
      <c r="H59" s="72" t="inlineStr">
        <is>
          <t>https://openstax.org/books/anatomy-and-physiology-2e/pages/23-7-chemical-digestion-and-absorption-a-closer-look</t>
        </is>
      </c>
      <c r="I59" s="67" t="inlineStr">
        <is>
          <t>Pending</t>
        </is>
      </c>
      <c r="J59" s="60" t="n"/>
      <c r="K59" s="60" t="n"/>
      <c r="L59" s="60" t="n"/>
      <c r="M59" s="60" t="n"/>
      <c r="N59" s="60" t="n"/>
      <c r="O59" s="60" t="n"/>
      <c r="P59" s="60" t="n"/>
      <c r="Q59" s="60" t="n"/>
      <c r="R59" s="60" t="n"/>
      <c r="S59" s="60" t="n"/>
    </row>
    <row r="60" ht="21.75" customHeight="1" s="50">
      <c r="A60" s="62" t="n">
        <v>15</v>
      </c>
      <c r="B60" s="62" t="n"/>
      <c r="C60" s="62" t="inlineStr">
        <is>
          <t>Wk 8</t>
        </is>
      </c>
      <c r="D60" s="63" t="inlineStr">
        <is>
          <t>Module 15: Urinary System and Fluid Balance</t>
        </is>
      </c>
      <c r="E60" s="64" t="n">
        <v>24</v>
      </c>
      <c r="F60" s="62" t="inlineStr">
        <is>
          <t>3 topics</t>
        </is>
      </c>
      <c r="G60" s="62" t="n"/>
      <c r="H60" s="62" t="n"/>
      <c r="I60" s="62" t="n"/>
      <c r="J60" s="60" t="n"/>
      <c r="K60" s="60" t="n"/>
      <c r="L60" s="60" t="n"/>
      <c r="M60" s="60" t="n"/>
      <c r="N60" s="60" t="n"/>
      <c r="O60" s="60" t="n"/>
      <c r="P60" s="60" t="n"/>
      <c r="Q60" s="60" t="n"/>
      <c r="R60" s="60" t="n"/>
      <c r="S60" s="60" t="n"/>
    </row>
    <row r="61" ht="19.5" customHeight="1" s="50">
      <c r="A61" s="66" t="n"/>
      <c r="B61" s="67" t="inlineStr">
        <is>
          <t>Day 29</t>
        </is>
      </c>
      <c r="C61" s="67" t="inlineStr">
        <is>
          <t>Mon</t>
        </is>
      </c>
      <c r="D61" s="68" t="inlineStr">
        <is>
          <t>Kidney Anatomy and Glomerular Filtration</t>
        </is>
      </c>
      <c r="E61" s="69" t="n">
        <v>6</v>
      </c>
      <c r="F61" s="77" t="inlineStr">
        <is>
          <t>—</t>
        </is>
      </c>
      <c r="G61" s="71" t="inlineStr">
        <is>
          <t>—</t>
        </is>
      </c>
      <c r="H61" s="72" t="inlineStr">
        <is>
          <t>https://openstax.org/books/anatomy-and-physiology-2e/pages/25-3-physiology-of-urine-formation</t>
        </is>
      </c>
      <c r="I61" s="67" t="inlineStr">
        <is>
          <t>Pending</t>
        </is>
      </c>
      <c r="J61" s="60" t="n"/>
      <c r="K61" s="60" t="n"/>
      <c r="L61" s="60" t="n"/>
      <c r="M61" s="60" t="n"/>
      <c r="N61" s="60" t="n"/>
      <c r="O61" s="60" t="n"/>
      <c r="P61" s="60" t="n"/>
      <c r="Q61" s="60" t="n"/>
      <c r="R61" s="60" t="n"/>
      <c r="S61" s="60" t="n"/>
    </row>
    <row r="62" ht="19.5" customHeight="1" s="50">
      <c r="A62" s="73" t="n"/>
      <c r="B62" s="74" t="inlineStr">
        <is>
          <t>Day 30</t>
        </is>
      </c>
      <c r="C62" s="74" t="inlineStr">
        <is>
          <t>Tue</t>
        </is>
      </c>
      <c r="D62" s="75" t="inlineStr">
        <is>
          <t>Tubular Function and Urine Concentration</t>
        </is>
      </c>
      <c r="E62" s="76" t="n">
        <v>12</v>
      </c>
      <c r="F62" s="77" t="inlineStr">
        <is>
          <t>—</t>
        </is>
      </c>
      <c r="G62" s="71" t="inlineStr">
        <is>
          <t>—</t>
        </is>
      </c>
      <c r="H62" s="72" t="inlineStr">
        <is>
          <t>https://openstax.org/books/anatomy-and-physiology-2e/pages/25-4-physiology-of-urine-formation-tubular-reabsorption-and-secretion</t>
        </is>
      </c>
      <c r="I62" s="74" t="inlineStr">
        <is>
          <t>Pending</t>
        </is>
      </c>
      <c r="J62" s="60" t="n"/>
      <c r="K62" s="60" t="n"/>
      <c r="L62" s="60" t="n"/>
      <c r="M62" s="60" t="n"/>
      <c r="N62" s="60" t="n"/>
      <c r="O62" s="60" t="n"/>
      <c r="P62" s="60" t="n"/>
      <c r="Q62" s="60" t="n"/>
      <c r="R62" s="60" t="n"/>
      <c r="S62" s="60" t="n"/>
    </row>
    <row r="63" ht="19.5" customHeight="1" s="50">
      <c r="A63" s="66" t="n"/>
      <c r="B63" s="67" t="inlineStr">
        <is>
          <t>Day 31</t>
        </is>
      </c>
      <c r="C63" s="67" t="inlineStr">
        <is>
          <t>Thu</t>
        </is>
      </c>
      <c r="D63" s="68" t="inlineStr">
        <is>
          <t>Fluid, Electrolyte, and Acid-Base Balance</t>
        </is>
      </c>
      <c r="E63" s="69" t="n">
        <v>6</v>
      </c>
      <c r="F63" s="77" t="inlineStr">
        <is>
          <t>—</t>
        </is>
      </c>
      <c r="G63" s="71" t="inlineStr">
        <is>
          <t>—</t>
        </is>
      </c>
      <c r="H63" s="72" t="inlineStr">
        <is>
          <t>https://openstax.org/books/anatomy-and-physiology-2e/pages/26-4-acid-base-balance</t>
        </is>
      </c>
      <c r="I63" s="67" t="inlineStr">
        <is>
          <t>Pending</t>
        </is>
      </c>
      <c r="J63" s="60" t="n"/>
      <c r="K63" s="60" t="n"/>
      <c r="L63" s="60" t="n"/>
      <c r="M63" s="60" t="n"/>
      <c r="N63" s="60" t="n"/>
      <c r="O63" s="60" t="n"/>
      <c r="P63" s="60" t="n"/>
      <c r="Q63" s="60" t="n"/>
      <c r="R63" s="60" t="n"/>
      <c r="S63" s="60" t="n"/>
    </row>
    <row r="64" ht="21.75" customHeight="1" s="50">
      <c r="A64" s="62" t="n">
        <v>16</v>
      </c>
      <c r="B64" s="62" t="n"/>
      <c r="C64" s="62" t="inlineStr">
        <is>
          <t>Wk 8</t>
        </is>
      </c>
      <c r="D64" s="63" t="inlineStr">
        <is>
          <t>Module 16: Reproductive System</t>
        </is>
      </c>
      <c r="E64" s="64" t="n">
        <v>19</v>
      </c>
      <c r="F64" s="62" t="inlineStr">
        <is>
          <t>3 topics</t>
        </is>
      </c>
      <c r="G64" s="62" t="n"/>
      <c r="H64" s="62" t="n"/>
      <c r="I64" s="62" t="n"/>
      <c r="J64" s="60" t="n"/>
      <c r="K64" s="60" t="n"/>
      <c r="L64" s="60" t="n"/>
      <c r="M64" s="60" t="n"/>
      <c r="N64" s="60" t="n"/>
      <c r="O64" s="60" t="n"/>
      <c r="P64" s="60" t="n"/>
      <c r="Q64" s="60" t="n"/>
      <c r="R64" s="60" t="n"/>
      <c r="S64" s="60" t="n"/>
    </row>
    <row r="65" ht="19.5" customHeight="1" s="50">
      <c r="A65" s="66" t="n"/>
      <c r="B65" s="67" t="inlineStr">
        <is>
          <t>Day 31</t>
        </is>
      </c>
      <c r="C65" s="67" t="inlineStr">
        <is>
          <t>Thu</t>
        </is>
      </c>
      <c r="D65" s="68" t="inlineStr">
        <is>
          <t>Male Reproductive System</t>
        </is>
      </c>
      <c r="E65" s="69" t="n">
        <v>6</v>
      </c>
      <c r="F65" s="77" t="inlineStr">
        <is>
          <t>—</t>
        </is>
      </c>
      <c r="G65" s="71" t="inlineStr">
        <is>
          <t>—</t>
        </is>
      </c>
      <c r="H65" s="72" t="inlineStr">
        <is>
          <t>https://openstax.org/books/anatomy-and-physiology-2e/pages/27-1-anatomy-and-physiology-of-the-testicular-reproductive-system</t>
        </is>
      </c>
      <c r="I65" s="67" t="inlineStr">
        <is>
          <t>Pending</t>
        </is>
      </c>
      <c r="J65" s="60" t="n"/>
      <c r="K65" s="60" t="n"/>
      <c r="L65" s="60" t="n"/>
      <c r="M65" s="60" t="n"/>
      <c r="N65" s="60" t="n"/>
      <c r="O65" s="60" t="n"/>
      <c r="P65" s="60" t="n"/>
      <c r="Q65" s="60" t="n"/>
      <c r="R65" s="60" t="n"/>
      <c r="S65" s="60" t="n"/>
    </row>
    <row r="66" ht="19.5" customHeight="1" s="50">
      <c r="A66" s="73" t="n"/>
      <c r="B66" s="74" t="inlineStr">
        <is>
          <t>Day 32</t>
        </is>
      </c>
      <c r="C66" s="74" t="inlineStr">
        <is>
          <t>Fri</t>
        </is>
      </c>
      <c r="D66" s="75" t="inlineStr">
        <is>
          <t>Female Reproductive System</t>
        </is>
      </c>
      <c r="E66" s="76" t="n">
        <v>6</v>
      </c>
      <c r="F66" s="77" t="inlineStr">
        <is>
          <t>—</t>
        </is>
      </c>
      <c r="G66" s="71" t="inlineStr">
        <is>
          <t>—</t>
        </is>
      </c>
      <c r="H66" s="72" t="inlineStr">
        <is>
          <t>https://openstax.org/books/anatomy-and-physiology-2e/pages/27-2-anatomy-and-physiology-of-the-ovarian-reproductive-system</t>
        </is>
      </c>
      <c r="I66" s="74" t="inlineStr">
        <is>
          <t>Pending</t>
        </is>
      </c>
      <c r="J66" s="60" t="n"/>
      <c r="K66" s="60" t="n"/>
      <c r="L66" s="60" t="n"/>
      <c r="M66" s="60" t="n"/>
      <c r="N66" s="60" t="n"/>
      <c r="O66" s="60" t="n"/>
      <c r="P66" s="60" t="n"/>
      <c r="Q66" s="60" t="n"/>
      <c r="R66" s="60" t="n"/>
      <c r="S66" s="60" t="n"/>
    </row>
    <row r="67" ht="19.5" customHeight="1" s="50">
      <c r="A67" s="66" t="n"/>
      <c r="B67" s="67" t="inlineStr">
        <is>
          <t>Day 32</t>
        </is>
      </c>
      <c r="C67" s="67" t="inlineStr">
        <is>
          <t>Fri</t>
        </is>
      </c>
      <c r="D67" s="68" t="inlineStr">
        <is>
          <t>Pregnancy A&amp;P (Basics)</t>
        </is>
      </c>
      <c r="E67" s="69" t="n">
        <v>7</v>
      </c>
      <c r="F67" s="77" t="inlineStr">
        <is>
          <t>—</t>
        </is>
      </c>
      <c r="G67" s="71" t="inlineStr">
        <is>
          <t>—</t>
        </is>
      </c>
      <c r="H67" s="72" t="inlineStr">
        <is>
          <t>https://openstax.org/books/anatomy-and-physiology-2e/pages/28-4-maternal-changes-during-pregnancy-labor-and-birth</t>
        </is>
      </c>
      <c r="I67" s="67" t="inlineStr">
        <is>
          <t>Pending</t>
        </is>
      </c>
      <c r="J67" s="60" t="n"/>
      <c r="K67" s="60" t="n"/>
      <c r="L67" s="60" t="n"/>
      <c r="M67" s="60" t="n"/>
      <c r="N67" s="60" t="n"/>
      <c r="O67" s="60" t="n"/>
      <c r="P67" s="60" t="n"/>
      <c r="Q67" s="60" t="n"/>
      <c r="R67" s="60" t="n"/>
      <c r="S67" s="60" t="n"/>
    </row>
    <row r="68" ht="15" customHeight="1" s="50">
      <c r="A68" s="60" t="n"/>
      <c r="B68" s="60" t="n"/>
      <c r="C68" s="60" t="n"/>
      <c r="D68" s="60" t="n"/>
      <c r="E68" s="60" t="n"/>
      <c r="F68" s="60" t="n"/>
      <c r="G68" s="60" t="n"/>
      <c r="H68" s="60" t="n"/>
      <c r="I68" s="60" t="n"/>
      <c r="J68" s="60" t="n"/>
      <c r="K68" s="60" t="n"/>
      <c r="L68" s="60" t="n"/>
      <c r="M68" s="60" t="n"/>
      <c r="N68" s="60" t="n"/>
      <c r="O68" s="60" t="n"/>
      <c r="P68" s="60" t="n"/>
      <c r="Q68" s="60" t="n"/>
      <c r="R68" s="60" t="n"/>
      <c r="S68" s="60" t="n"/>
    </row>
    <row r="69" ht="15" customHeight="1" s="50">
      <c r="A69" s="60" t="n"/>
      <c r="B69" s="60" t="n"/>
      <c r="C69" s="60" t="n"/>
      <c r="D69" s="60" t="n"/>
      <c r="E69" s="60" t="n"/>
      <c r="F69" s="60" t="n"/>
      <c r="G69" s="60" t="n"/>
      <c r="H69" s="60" t="n"/>
      <c r="I69" s="60" t="n"/>
      <c r="J69" s="60" t="n"/>
      <c r="K69" s="60" t="n"/>
      <c r="L69" s="60" t="n"/>
      <c r="M69" s="60" t="n"/>
      <c r="N69" s="60" t="n"/>
      <c r="O69" s="60" t="n"/>
      <c r="P69" s="60" t="n"/>
      <c r="Q69" s="60" t="n"/>
      <c r="R69" s="60" t="n"/>
      <c r="S69" s="60" t="n"/>
    </row>
    <row r="70" ht="15" customHeight="1" s="50">
      <c r="A70" s="60" t="n"/>
      <c r="B70" s="60" t="n"/>
      <c r="C70" s="60" t="n"/>
      <c r="D70" s="60" t="n"/>
      <c r="E70" s="60" t="n"/>
      <c r="F70" s="60" t="n"/>
      <c r="G70" s="60" t="n"/>
      <c r="H70" s="60" t="n"/>
      <c r="I70" s="60" t="n"/>
      <c r="J70" s="60" t="n"/>
      <c r="K70" s="60" t="n"/>
      <c r="L70" s="60" t="n"/>
      <c r="M70" s="60" t="n"/>
      <c r="N70" s="60" t="n"/>
      <c r="O70" s="60" t="n"/>
      <c r="P70" s="60" t="n"/>
      <c r="Q70" s="60" t="n"/>
      <c r="R70" s="60" t="n"/>
      <c r="S70" s="60" t="n"/>
    </row>
    <row r="71" ht="15" customHeight="1" s="50">
      <c r="A71" s="60" t="n"/>
      <c r="B71" s="60" t="n"/>
      <c r="C71" s="60" t="n"/>
      <c r="D71" s="60" t="n"/>
      <c r="E71" s="60" t="n"/>
      <c r="F71" s="60" t="n"/>
      <c r="G71" s="60" t="n"/>
      <c r="H71" s="60" t="n"/>
      <c r="I71" s="60" t="n"/>
      <c r="J71" s="60" t="n"/>
      <c r="K71" s="60" t="n"/>
      <c r="L71" s="60" t="n"/>
      <c r="M71" s="60" t="n"/>
      <c r="N71" s="60" t="n"/>
      <c r="O71" s="60" t="n"/>
      <c r="P71" s="60" t="n"/>
      <c r="Q71" s="60" t="n"/>
      <c r="R71" s="60" t="n"/>
      <c r="S71" s="60" t="n"/>
    </row>
  </sheetData>
  <mergeCells count="4">
    <mergeCell ref="A3:F3"/>
    <mergeCell ref="A2:F2"/>
    <mergeCell ref="A1:F1"/>
    <mergeCell ref="A8:I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O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9" customWidth="1" style="49" min="1" max="1"/>
    <col width="26" customWidth="1" style="49" min="2" max="2"/>
    <col width="22" customWidth="1" style="49" min="3" max="3"/>
    <col width="34" customWidth="1" style="49" min="4" max="4"/>
    <col width="44" customWidth="1" style="49" min="5" max="5"/>
    <col width="28" customWidth="1" style="49" min="6" max="6"/>
    <col width="7" customWidth="1" style="49" min="7" max="7"/>
    <col width="12" customWidth="1" style="49" min="8" max="8"/>
    <col width="8" customWidth="1" style="49" min="9" max="9"/>
    <col width="7" customWidth="1" style="49" min="10" max="11"/>
    <col width="36" customWidth="1" style="49" min="12" max="13"/>
    <col width="30" customWidth="1" style="49" min="14" max="14"/>
  </cols>
  <sheetData>
    <row r="1" ht="15" customHeight="1" s="50">
      <c r="A1" s="51" t="inlineStr">
        <is>
          <t>BIO 304 . HUMAN ANATOMY &amp; PHYSIOLOGY . AMERICAN RIVER COLLEGE</t>
        </is>
      </c>
    </row>
    <row r="2" ht="30" customHeight="1" s="50">
      <c r="A2" s="52" t="inlineStr">
        <is>
          <t>Video and Notes Tracker (8-Week Schedule)</t>
        </is>
      </c>
    </row>
    <row r="3" ht="31.5" customHeight="1" s="50">
      <c r="A3" s="53" t="inlineStr">
        <is>
          <t>Paste video URLs in column L, note URLs in column M. Column N has the OpenStax reference. Pre-work nights: Mon, Tue, Thu, Fri. Wednesday is recall + lab. Topic ID in column C is what the engine matches on.</t>
        </is>
      </c>
    </row>
    <row r="4"/>
    <row r="5" ht="30" customHeight="1" s="50">
      <c r="A5" s="78" t="inlineStr">
        <is>
          <t>Module #</t>
        </is>
      </c>
      <c r="B5" s="78" t="inlineStr">
        <is>
          <t>Module</t>
        </is>
      </c>
      <c r="C5" s="78" t="inlineStr">
        <is>
          <t>Topic ID (do not edit)</t>
        </is>
      </c>
      <c r="D5" s="78" t="inlineStr">
        <is>
          <t>Topic Title</t>
        </is>
      </c>
      <c r="E5" s="78" t="inlineStr">
        <is>
          <t>Summary</t>
        </is>
      </c>
      <c r="F5" s="78" t="inlineStr">
        <is>
          <t>Gate Keywords</t>
        </is>
      </c>
      <c r="G5" s="78" t="inlineStr">
        <is>
          <t>Cards</t>
        </is>
      </c>
      <c r="H5" s="78" t="inlineStr">
        <is>
          <t>DOK 1/2/3</t>
        </is>
      </c>
      <c r="I5" s="78" t="inlineStr">
        <is>
          <t>Day #</t>
        </is>
      </c>
      <c r="J5" s="78" t="inlineStr">
        <is>
          <t>Week</t>
        </is>
      </c>
      <c r="K5" s="78" t="inlineStr">
        <is>
          <t>Day</t>
        </is>
      </c>
      <c r="L5" s="78" t="inlineStr">
        <is>
          <t>Video URL (paste)</t>
        </is>
      </c>
      <c r="M5" s="78" t="inlineStr">
        <is>
          <t>Notes URL (paste)</t>
        </is>
      </c>
      <c r="N5" s="78" t="inlineStr">
        <is>
          <t>OpenStax ref</t>
        </is>
      </c>
      <c r="O5" s="78" t="inlineStr">
        <is>
          <t>Status</t>
        </is>
      </c>
    </row>
    <row r="6" ht="39.75" customHeight="1" s="50">
      <c r="A6" s="79" t="n">
        <v>1</v>
      </c>
      <c r="B6" s="80" t="inlineStr">
        <is>
          <t>Foundations of Anatomy and Physiology</t>
        </is>
      </c>
      <c r="C6" s="81" t="inlineStr">
        <is>
          <t>t-levels-of-organization</t>
        </is>
      </c>
      <c r="D6" s="82" t="inlineStr">
        <is>
          <t>Levels of Organization</t>
        </is>
      </c>
      <c r="E6" s="80" t="inlineStr">
        <is>
          <t>From atoms to organism: how complexity scales and where new function emerges.</t>
        </is>
      </c>
      <c r="F6" s="81" t="inlineStr">
        <is>
          <t>atom, cell, tissue, organ, organ system, organism</t>
        </is>
      </c>
      <c r="G6" s="79" t="n">
        <v>7</v>
      </c>
      <c r="H6" s="79" t="inlineStr">
        <is>
          <t>4 / 2 / 1</t>
        </is>
      </c>
      <c r="I6" s="79" t="n">
        <v>1</v>
      </c>
      <c r="J6" s="79" t="n">
        <v>1</v>
      </c>
      <c r="K6" s="79" t="inlineStr">
        <is>
          <t>Mon</t>
        </is>
      </c>
      <c r="L6" s="83" t="n"/>
      <c r="M6" s="84" t="n"/>
      <c r="N6" s="85" t="inlineStr">
        <is>
          <t>https://openstax.org/books/anatomy-and-physiology-2e/pages/1-2-structural-organization-of-the-human-body</t>
        </is>
      </c>
      <c r="O6" s="79" t="inlineStr">
        <is>
          <t>Pending</t>
        </is>
      </c>
    </row>
    <row r="7" ht="39.75" customHeight="1" s="50">
      <c r="A7" s="69" t="n">
        <v>1</v>
      </c>
      <c r="B7" s="86" t="inlineStr">
        <is>
          <t>Foundations of Anatomy and Physiology</t>
        </is>
      </c>
      <c r="C7" s="87" t="inlineStr">
        <is>
          <t>t-anatomical-terminology</t>
        </is>
      </c>
      <c r="D7" s="88" t="inlineStr">
        <is>
          <t>Anatomical Terminology and Body Regions</t>
        </is>
      </c>
      <c r="E7" s="86" t="inlineStr">
        <is>
          <t>Anatomical position, directional terms, body planes, cavities, and the four abdominal quadrants.</t>
        </is>
      </c>
      <c r="F7" s="87" t="inlineStr">
        <is>
          <t>anatomical position, sagittal, transverse, superior, anterior, abdominopelvic</t>
        </is>
      </c>
      <c r="G7" s="69" t="n">
        <v>7</v>
      </c>
      <c r="H7" s="69" t="inlineStr">
        <is>
          <t>4 / 2 / 1</t>
        </is>
      </c>
      <c r="I7" s="69" t="n">
        <v>1</v>
      </c>
      <c r="J7" s="69" t="n">
        <v>1</v>
      </c>
      <c r="K7" s="69" t="inlineStr">
        <is>
          <t>Mon</t>
        </is>
      </c>
      <c r="L7" s="89" t="n"/>
      <c r="M7" s="90" t="n"/>
      <c r="N7" s="85" t="inlineStr">
        <is>
          <t>https://openstax.org/books/anatomy-and-physiology-2e/pages/1-6-anatomical-terminology</t>
        </is>
      </c>
      <c r="O7" s="69" t="inlineStr">
        <is>
          <t>Pending</t>
        </is>
      </c>
    </row>
    <row r="8" ht="39.75" customHeight="1" s="50">
      <c r="A8" s="69" t="n">
        <v>1</v>
      </c>
      <c r="B8" s="86" t="inlineStr">
        <is>
          <t>Foundations of Anatomy and Physiology</t>
        </is>
      </c>
      <c r="C8" s="87" t="inlineStr">
        <is>
          <t>t-homeostasis</t>
        </is>
      </c>
      <c r="D8" s="88" t="inlineStr">
        <is>
          <t>Homeostasis and Feedback Loops</t>
        </is>
      </c>
      <c r="E8" s="86" t="inlineStr">
        <is>
          <t>Set points, the four-part negative feedback loop, and why positive feedback is the rare exception.</t>
        </is>
      </c>
      <c r="F8" s="87" t="inlineStr">
        <is>
          <t>homeostasis, feedback, set point, receptor, effector</t>
        </is>
      </c>
      <c r="G8" s="69" t="n">
        <v>8</v>
      </c>
      <c r="H8" s="69" t="inlineStr">
        <is>
          <t>4 / 2 / 2</t>
        </is>
      </c>
      <c r="I8" s="69" t="n">
        <v>2</v>
      </c>
      <c r="J8" s="69" t="n">
        <v>1</v>
      </c>
      <c r="K8" s="69" t="inlineStr">
        <is>
          <t>Tue</t>
        </is>
      </c>
      <c r="L8" s="89" t="n"/>
      <c r="M8" s="90" t="n"/>
      <c r="N8" s="85" t="inlineStr">
        <is>
          <t>https://openstax.org/books/anatomy-and-physiology-2e/pages/1-5-homeostasis</t>
        </is>
      </c>
      <c r="O8" s="69" t="inlineStr">
        <is>
          <t>Pending</t>
        </is>
      </c>
    </row>
    <row r="9" ht="39.75" customHeight="1" s="50">
      <c r="A9" s="91" t="n">
        <v>2</v>
      </c>
      <c r="B9" s="92" t="inlineStr">
        <is>
          <t>The Cell</t>
        </is>
      </c>
      <c r="C9" s="93" t="inlineStr">
        <is>
          <t>t-cell-structure</t>
        </is>
      </c>
      <c r="D9" s="94" t="inlineStr">
        <is>
          <t>Cell Structure and Organelles</t>
        </is>
      </c>
      <c r="E9" s="92" t="inlineStr">
        <is>
          <t>Plasma membrane, nucleus, and the major cytoplasmic organelles that do the work of the cell.</t>
        </is>
      </c>
      <c r="F9" s="93" t="inlineStr">
        <is>
          <t>nucleus, mitochondria, endoplasmic reticulum, Golgi, ribosome, plasma membrane</t>
        </is>
      </c>
      <c r="G9" s="91" t="n">
        <v>7</v>
      </c>
      <c r="H9" s="91" t="inlineStr">
        <is>
          <t>4 / 2 / 1</t>
        </is>
      </c>
      <c r="I9" s="91" t="n">
        <v>3</v>
      </c>
      <c r="J9" s="91" t="n">
        <v>1</v>
      </c>
      <c r="K9" s="91" t="inlineStr">
        <is>
          <t>Thu</t>
        </is>
      </c>
      <c r="L9" s="83" t="n"/>
      <c r="M9" s="84" t="n"/>
      <c r="N9" s="85" t="inlineStr">
        <is>
          <t>https://openstax.org/books/anatomy-and-physiology-2e/pages/3-2-the-cytoplasm-and-cellular-organelles</t>
        </is>
      </c>
      <c r="O9" s="91" t="inlineStr">
        <is>
          <t>Pending</t>
        </is>
      </c>
    </row>
    <row r="10" ht="39.75" customHeight="1" s="50">
      <c r="A10" s="76" t="n">
        <v>2</v>
      </c>
      <c r="B10" s="95" t="inlineStr">
        <is>
          <t>The Cell</t>
        </is>
      </c>
      <c r="C10" s="96" t="inlineStr">
        <is>
          <t>t-membrane-transport</t>
        </is>
      </c>
      <c r="D10" s="97" t="inlineStr">
        <is>
          <t>Membrane Transport</t>
        </is>
      </c>
      <c r="E10" s="95" t="inlineStr">
        <is>
          <t>Passive vs active, simple vs facilitated, primary vs secondary, plus bulk transport.</t>
        </is>
      </c>
      <c r="F10" s="96" t="inlineStr">
        <is>
          <t>diffusion, osmosis, active transport, gradient, channel, carrier</t>
        </is>
      </c>
      <c r="G10" s="76" t="n">
        <v>8</v>
      </c>
      <c r="H10" s="76" t="inlineStr">
        <is>
          <t>4 / 2 / 2</t>
        </is>
      </c>
      <c r="I10" s="76" t="n">
        <v>4</v>
      </c>
      <c r="J10" s="76" t="n">
        <v>1</v>
      </c>
      <c r="K10" s="76" t="inlineStr">
        <is>
          <t>Fri</t>
        </is>
      </c>
      <c r="L10" s="89" t="n"/>
      <c r="M10" s="90" t="n"/>
      <c r="N10" s="85" t="inlineStr">
        <is>
          <t>https://openstax.org/books/anatomy-and-physiology-2e/pages/3-1-the-cell-membrane</t>
        </is>
      </c>
      <c r="O10" s="76" t="inlineStr">
        <is>
          <t>Pending</t>
        </is>
      </c>
    </row>
    <row r="11" ht="39.75" customHeight="1" s="50">
      <c r="A11" s="79" t="n">
        <v>3</v>
      </c>
      <c r="B11" s="80" t="inlineStr">
        <is>
          <t>Tissues</t>
        </is>
      </c>
      <c r="C11" s="81" t="inlineStr">
        <is>
          <t>t-epithelial-tissue</t>
        </is>
      </c>
      <c r="D11" s="82" t="inlineStr">
        <is>
          <t>Epithelial Tissue Classification</t>
        </is>
      </c>
      <c r="E11" s="80" t="inlineStr">
        <is>
          <t>Naming epithelia by layer and cell shape; where each type lives and what it does.</t>
        </is>
      </c>
      <c r="F11" s="81" t="inlineStr">
        <is>
          <t>epithelium, simple, stratified, squamous, cuboidal, columnar</t>
        </is>
      </c>
      <c r="G11" s="79" t="n">
        <v>7</v>
      </c>
      <c r="H11" s="79" t="inlineStr">
        <is>
          <t>4 / 2 / 1</t>
        </is>
      </c>
      <c r="I11" s="79" t="n">
        <v>5</v>
      </c>
      <c r="J11" s="79" t="n">
        <v>2</v>
      </c>
      <c r="K11" s="79" t="inlineStr">
        <is>
          <t>Mon</t>
        </is>
      </c>
      <c r="L11" s="83" t="n"/>
      <c r="M11" s="84" t="n"/>
      <c r="N11" s="85" t="inlineStr">
        <is>
          <t>https://openstax.org/books/anatomy-and-physiology-2e/pages/4-2-epithelial-tissue</t>
        </is>
      </c>
      <c r="O11" s="79" t="inlineStr">
        <is>
          <t>Pending</t>
        </is>
      </c>
    </row>
    <row r="12" ht="39.75" customHeight="1" s="50">
      <c r="A12" s="69" t="n">
        <v>3</v>
      </c>
      <c r="B12" s="86" t="inlineStr">
        <is>
          <t>Tissues</t>
        </is>
      </c>
      <c r="C12" s="87" t="inlineStr">
        <is>
          <t>t-connective-tissue</t>
        </is>
      </c>
      <c r="D12" s="88" t="inlineStr">
        <is>
          <t>Connective Tissues</t>
        </is>
      </c>
      <c r="E12" s="86" t="inlineStr">
        <is>
          <t>Cells embedded in a matrix: loose, dense, cartilage, bone, blood.</t>
        </is>
      </c>
      <c r="F12" s="87" t="inlineStr">
        <is>
          <t>connective tissue, matrix, fibroblast, collagen, cartilage, bone</t>
        </is>
      </c>
      <c r="G12" s="69" t="n">
        <v>7</v>
      </c>
      <c r="H12" s="69" t="inlineStr">
        <is>
          <t>4 / 2 / 1</t>
        </is>
      </c>
      <c r="I12" s="69" t="n">
        <v>6</v>
      </c>
      <c r="J12" s="69" t="n">
        <v>2</v>
      </c>
      <c r="K12" s="69" t="inlineStr">
        <is>
          <t>Tue</t>
        </is>
      </c>
      <c r="L12" s="89" t="n"/>
      <c r="M12" s="90" t="n"/>
      <c r="N12" s="85" t="inlineStr">
        <is>
          <t>https://openstax.org/books/anatomy-and-physiology-2e/pages/4-3-connective-tissue-supports-and-protects</t>
        </is>
      </c>
      <c r="O12" s="69" t="inlineStr">
        <is>
          <t>Pending</t>
        </is>
      </c>
    </row>
    <row r="13" ht="39.75" customHeight="1" s="50">
      <c r="A13" s="69" t="n">
        <v>3</v>
      </c>
      <c r="B13" s="86" t="inlineStr">
        <is>
          <t>Tissues</t>
        </is>
      </c>
      <c r="C13" s="87" t="inlineStr">
        <is>
          <t>t-muscle-nervous-tissue</t>
        </is>
      </c>
      <c r="D13" s="88" t="inlineStr">
        <is>
          <t>Muscle and Nervous Tissue Overview</t>
        </is>
      </c>
      <c r="E13" s="86" t="inlineStr">
        <is>
          <t>Three muscle types compared, plus neurons and glia at a tissue level.</t>
        </is>
      </c>
      <c r="F13" s="87" t="inlineStr">
        <is>
          <t>skeletal muscle, smooth muscle, cardiac muscle, neuron, glia</t>
        </is>
      </c>
      <c r="G13" s="69" t="n">
        <v>6</v>
      </c>
      <c r="H13" s="69" t="inlineStr">
        <is>
          <t>4 / 1 / 1</t>
        </is>
      </c>
      <c r="I13" s="69" t="n">
        <v>7</v>
      </c>
      <c r="J13" s="69" t="n">
        <v>2</v>
      </c>
      <c r="K13" s="69" t="inlineStr">
        <is>
          <t>Thu</t>
        </is>
      </c>
      <c r="L13" s="89" t="n"/>
      <c r="M13" s="90" t="n"/>
      <c r="N13" s="85" t="inlineStr">
        <is>
          <t>https://openstax.org/books/anatomy-and-physiology-2e/pages/4-4-muscle-tissue-and-motion</t>
        </is>
      </c>
      <c r="O13" s="69" t="inlineStr">
        <is>
          <t>Pending</t>
        </is>
      </c>
    </row>
    <row r="14" ht="39.75" customHeight="1" s="50">
      <c r="A14" s="91" t="n">
        <v>4</v>
      </c>
      <c r="B14" s="92" t="inlineStr">
        <is>
          <t>Integumentary System</t>
        </is>
      </c>
      <c r="C14" s="93" t="inlineStr">
        <is>
          <t>t-skin-layers</t>
        </is>
      </c>
      <c r="D14" s="94" t="inlineStr">
        <is>
          <t>Skin Structure and Layers</t>
        </is>
      </c>
      <c r="E14" s="92" t="inlineStr">
        <is>
          <t>Epidermis, dermis, hypodermis: who lives where and what they do.</t>
        </is>
      </c>
      <c r="F14" s="93" t="inlineStr">
        <is>
          <t>epidermis, dermis, hypodermis, keratin, melanin, stratum</t>
        </is>
      </c>
      <c r="G14" s="91" t="n">
        <v>6</v>
      </c>
      <c r="H14" s="91" t="inlineStr">
        <is>
          <t>4 / 1 / 1</t>
        </is>
      </c>
      <c r="I14" s="91" t="n">
        <v>7</v>
      </c>
      <c r="J14" s="91" t="n">
        <v>2</v>
      </c>
      <c r="K14" s="91" t="inlineStr">
        <is>
          <t>Thu</t>
        </is>
      </c>
      <c r="L14" s="83" t="n"/>
      <c r="M14" s="84" t="n"/>
      <c r="N14" s="85" t="inlineStr">
        <is>
          <t>https://openstax.org/books/anatomy-and-physiology-2e/pages/5-1-layers-of-the-skin</t>
        </is>
      </c>
      <c r="O14" s="91" t="inlineStr">
        <is>
          <t>Pending</t>
        </is>
      </c>
    </row>
    <row r="15" ht="39.75" customHeight="1" s="50">
      <c r="A15" s="76" t="n">
        <v>4</v>
      </c>
      <c r="B15" s="95" t="inlineStr">
        <is>
          <t>Integumentary System</t>
        </is>
      </c>
      <c r="C15" s="96" t="inlineStr">
        <is>
          <t>t-skin-functions</t>
        </is>
      </c>
      <c r="D15" s="97" t="inlineStr">
        <is>
          <t>Skin Functions and Accessory Structures</t>
        </is>
      </c>
      <c r="E15" s="95" t="inlineStr">
        <is>
          <t>Protection, thermoregulation, sensation, vitamin D; plus hair, glands, and nails.</t>
        </is>
      </c>
      <c r="F15" s="96" t="inlineStr">
        <is>
          <t>thermoregulation, sebaceous, sweat gland, vitamin D, hair follicle</t>
        </is>
      </c>
      <c r="G15" s="76" t="n">
        <v>6</v>
      </c>
      <c r="H15" s="76" t="inlineStr">
        <is>
          <t>4 / 1 / 1</t>
        </is>
      </c>
      <c r="I15" s="76" t="n">
        <v>8</v>
      </c>
      <c r="J15" s="76" t="n">
        <v>2</v>
      </c>
      <c r="K15" s="76" t="inlineStr">
        <is>
          <t>Fri</t>
        </is>
      </c>
      <c r="L15" s="89" t="n"/>
      <c r="M15" s="90" t="n"/>
      <c r="N15" s="85" t="inlineStr">
        <is>
          <t>https://openstax.org/books/anatomy-and-physiology-2e/pages/5-3-functions-of-the-integumentary-system</t>
        </is>
      </c>
      <c r="O15" s="76" t="inlineStr">
        <is>
          <t>Pending</t>
        </is>
      </c>
    </row>
    <row r="16" ht="39.75" customHeight="1" s="50">
      <c r="A16" s="79" t="n">
        <v>5</v>
      </c>
      <c r="B16" s="80" t="inlineStr">
        <is>
          <t>Skeletal System</t>
        </is>
      </c>
      <c r="C16" s="81" t="inlineStr">
        <is>
          <t>t-bone-tissue</t>
        </is>
      </c>
      <c r="D16" s="82" t="inlineStr">
        <is>
          <t>Bone Tissue and Bone Growth</t>
        </is>
      </c>
      <c r="E16" s="80" t="inlineStr">
        <is>
          <t>Cells of bone, compact vs spongy, intramembranous vs endochondral ossification, and lifelong remodeling.</t>
        </is>
      </c>
      <c r="F16" s="81" t="inlineStr">
        <is>
          <t>osteoblast, osteoclast, osteocyte, compact bone, spongy bone, ossification</t>
        </is>
      </c>
      <c r="G16" s="79" t="n">
        <v>7</v>
      </c>
      <c r="H16" s="79" t="inlineStr">
        <is>
          <t>4 / 2 / 1</t>
        </is>
      </c>
      <c r="I16" s="79" t="n">
        <v>9</v>
      </c>
      <c r="J16" s="79" t="n">
        <v>3</v>
      </c>
      <c r="K16" s="79" t="inlineStr">
        <is>
          <t>Mon</t>
        </is>
      </c>
      <c r="L16" s="83" t="n"/>
      <c r="M16" s="84" t="n"/>
      <c r="N16" s="85" t="inlineStr">
        <is>
          <t>https://openstax.org/books/anatomy-and-physiology-2e/pages/6-3-bone-structure</t>
        </is>
      </c>
      <c r="O16" s="79" t="inlineStr">
        <is>
          <t>Pending</t>
        </is>
      </c>
    </row>
    <row r="17" ht="39.75" customHeight="1" s="50">
      <c r="A17" s="69" t="n">
        <v>5</v>
      </c>
      <c r="B17" s="86" t="inlineStr">
        <is>
          <t>Skeletal System</t>
        </is>
      </c>
      <c r="C17" s="87" t="inlineStr">
        <is>
          <t>t-axial-skeleton</t>
        </is>
      </c>
      <c r="D17" s="88" t="inlineStr">
        <is>
          <t>Axial Skeleton</t>
        </is>
      </c>
      <c r="E17" s="86" t="inlineStr">
        <is>
          <t>Skull, vertebral column, and thoracic cage: the central axis of the body.</t>
        </is>
      </c>
      <c r="F17" s="87" t="inlineStr">
        <is>
          <t>skull, vertebra, cervical, thoracic, lumbar, sternum</t>
        </is>
      </c>
      <c r="G17" s="69" t="n">
        <v>6</v>
      </c>
      <c r="H17" s="69" t="inlineStr">
        <is>
          <t>4 / 1 / 1</t>
        </is>
      </c>
      <c r="I17" s="69" t="n">
        <v>10</v>
      </c>
      <c r="J17" s="69" t="n">
        <v>3</v>
      </c>
      <c r="K17" s="69" t="inlineStr">
        <is>
          <t>Tue</t>
        </is>
      </c>
      <c r="L17" s="89" t="n"/>
      <c r="M17" s="90" t="n"/>
      <c r="N17" s="85" t="inlineStr">
        <is>
          <t>https://openstax.org/books/anatomy-and-physiology-2e/pages/7-1-divisions-of-the-skeletal-system</t>
        </is>
      </c>
      <c r="O17" s="69" t="inlineStr">
        <is>
          <t>Pending</t>
        </is>
      </c>
    </row>
    <row r="18" ht="39.75" customHeight="1" s="50">
      <c r="A18" s="69" t="n">
        <v>5</v>
      </c>
      <c r="B18" s="86" t="inlineStr">
        <is>
          <t>Skeletal System</t>
        </is>
      </c>
      <c r="C18" s="87" t="inlineStr">
        <is>
          <t>t-appendicular-skeleton</t>
        </is>
      </c>
      <c r="D18" s="88" t="inlineStr">
        <is>
          <t>Appendicular Skeleton</t>
        </is>
      </c>
      <c r="E18" s="86" t="inlineStr">
        <is>
          <t>Pectoral girdle and upper limb, pelvic girdle and lower limb.</t>
        </is>
      </c>
      <c r="F18" s="87" t="inlineStr">
        <is>
          <t>clavicle, scapula, humerus, femur, pelvis, tibia</t>
        </is>
      </c>
      <c r="G18" s="69" t="n">
        <v>6</v>
      </c>
      <c r="H18" s="69" t="inlineStr">
        <is>
          <t>4 / 1 / 1</t>
        </is>
      </c>
      <c r="I18" s="69" t="n">
        <v>11</v>
      </c>
      <c r="J18" s="69" t="n">
        <v>3</v>
      </c>
      <c r="K18" s="69" t="inlineStr">
        <is>
          <t>Thu</t>
        </is>
      </c>
      <c r="L18" s="89" t="n"/>
      <c r="M18" s="90" t="n"/>
      <c r="N18" s="85" t="inlineStr">
        <is>
          <t>https://openstax.org/books/anatomy-and-physiology-2e/pages/8-1-the-pectoral-girdle</t>
        </is>
      </c>
      <c r="O18" s="69" t="inlineStr">
        <is>
          <t>Pending</t>
        </is>
      </c>
    </row>
    <row r="19" ht="39.75" customHeight="1" s="50">
      <c r="A19" s="69" t="n">
        <v>5</v>
      </c>
      <c r="B19" s="86" t="inlineStr">
        <is>
          <t>Skeletal System</t>
        </is>
      </c>
      <c r="C19" s="87" t="inlineStr">
        <is>
          <t>t-joints-movements</t>
        </is>
      </c>
      <c r="D19" s="88" t="inlineStr">
        <is>
          <t>Joints and Body Movements</t>
        </is>
      </c>
      <c r="E19" s="86" t="inlineStr">
        <is>
          <t>Classifying joints by structure and function, plus the vocabulary of movement.</t>
        </is>
      </c>
      <c r="F19" s="87" t="inlineStr">
        <is>
          <t>synovial, hinge, ball-and-socket, flexion, extension, abduction</t>
        </is>
      </c>
      <c r="G19" s="69" t="n">
        <v>6</v>
      </c>
      <c r="H19" s="69" t="inlineStr">
        <is>
          <t>4 / 1 / 1</t>
        </is>
      </c>
      <c r="I19" s="69" t="n">
        <v>12</v>
      </c>
      <c r="J19" s="69" t="n">
        <v>3</v>
      </c>
      <c r="K19" s="69" t="inlineStr">
        <is>
          <t>Fri</t>
        </is>
      </c>
      <c r="L19" s="89" t="n"/>
      <c r="M19" s="90" t="n"/>
      <c r="N19" s="85" t="inlineStr">
        <is>
          <t>https://openstax.org/books/anatomy-and-physiology-2e/pages/9-1-classification-of-joints</t>
        </is>
      </c>
      <c r="O19" s="69" t="inlineStr">
        <is>
          <t>Pending</t>
        </is>
      </c>
    </row>
    <row r="20" ht="39.75" customHeight="1" s="50">
      <c r="A20" s="91" t="n">
        <v>6</v>
      </c>
      <c r="B20" s="92" t="inlineStr">
        <is>
          <t>Muscular System</t>
        </is>
      </c>
      <c r="C20" s="93" t="inlineStr">
        <is>
          <t>t-skeletal-muscle-microanatomy</t>
        </is>
      </c>
      <c r="D20" s="94" t="inlineStr">
        <is>
          <t>Skeletal Muscle Microanatomy</t>
        </is>
      </c>
      <c r="E20" s="92" t="inlineStr">
        <is>
          <t>From whole muscle down to the sarcomere: the structural ladder of contractile tissue.</t>
        </is>
      </c>
      <c r="F20" s="93" t="inlineStr">
        <is>
          <t>sarcomere, myofibril, actin, myosin, sarcoplasmic reticulum</t>
        </is>
      </c>
      <c r="G20" s="91" t="n">
        <v>6</v>
      </c>
      <c r="H20" s="91" t="inlineStr">
        <is>
          <t>4 / 1 / 1</t>
        </is>
      </c>
      <c r="I20" s="91" t="n">
        <v>13</v>
      </c>
      <c r="J20" s="91" t="n">
        <v>4</v>
      </c>
      <c r="K20" s="91" t="inlineStr">
        <is>
          <t>Mon</t>
        </is>
      </c>
      <c r="L20" s="83" t="n"/>
      <c r="M20" s="84" t="n"/>
      <c r="N20" s="85" t="inlineStr">
        <is>
          <t>https://openstax.org/books/anatomy-and-physiology-2e/pages/10-2-skeletal-muscle</t>
        </is>
      </c>
      <c r="O20" s="91" t="inlineStr">
        <is>
          <t>Pending</t>
        </is>
      </c>
    </row>
    <row r="21" ht="39.75" customHeight="1" s="50">
      <c r="A21" s="76" t="n">
        <v>6</v>
      </c>
      <c r="B21" s="95" t="inlineStr">
        <is>
          <t>Muscular System</t>
        </is>
      </c>
      <c r="C21" s="96" t="inlineStr">
        <is>
          <t>t-motor-units</t>
        </is>
      </c>
      <c r="D21" s="97" t="inlineStr">
        <is>
          <t>Motor Units and Muscle Mechanics</t>
        </is>
      </c>
      <c r="E21" s="95" t="inlineStr">
        <is>
          <t>Motor unit organization, recruitment, summation, and fatigue.</t>
        </is>
      </c>
      <c r="F21" s="96" t="inlineStr">
        <is>
          <t>motor unit, recruitment, twitch, summation, tetanus</t>
        </is>
      </c>
      <c r="G21" s="76" t="n">
        <v>6</v>
      </c>
      <c r="H21" s="76" t="inlineStr">
        <is>
          <t>4 / 1 / 1</t>
        </is>
      </c>
      <c r="I21" s="76" t="n">
        <v>13</v>
      </c>
      <c r="J21" s="76" t="n">
        <v>4</v>
      </c>
      <c r="K21" s="76" t="inlineStr">
        <is>
          <t>Mon</t>
        </is>
      </c>
      <c r="L21" s="89" t="n"/>
      <c r="M21" s="90" t="n"/>
      <c r="N21" s="85" t="inlineStr">
        <is>
          <t>https://openstax.org/books/anatomy-and-physiology-2e/pages/10-4-nervous-system-control-of-muscle-tension</t>
        </is>
      </c>
      <c r="O21" s="76" t="inlineStr">
        <is>
          <t>Pending</t>
        </is>
      </c>
    </row>
    <row r="22" ht="39.75" customHeight="1" s="50">
      <c r="A22" s="76" t="n">
        <v>6</v>
      </c>
      <c r="B22" s="95" t="inlineStr">
        <is>
          <t>Muscular System</t>
        </is>
      </c>
      <c r="C22" s="96" t="inlineStr">
        <is>
          <t>t-sliding-filament</t>
        </is>
      </c>
      <c r="D22" s="97" t="inlineStr">
        <is>
          <t>Sliding Filament and the Cross-Bridge Cycle</t>
        </is>
      </c>
      <c r="E22" s="95" t="inlineStr">
        <is>
          <t>How calcium, ATP, actin, and myosin convert chemical energy into mechanical force.</t>
        </is>
      </c>
      <c r="F22" s="96" t="inlineStr">
        <is>
          <t>sliding filament, cross-bridge, calcium, troponin, tropomyosin, ATP</t>
        </is>
      </c>
      <c r="G22" s="76" t="n">
        <v>10</v>
      </c>
      <c r="H22" s="76" t="inlineStr">
        <is>
          <t>5 / 3 / 2</t>
        </is>
      </c>
      <c r="I22" s="76" t="n">
        <v>14</v>
      </c>
      <c r="J22" s="76" t="n">
        <v>4</v>
      </c>
      <c r="K22" s="76" t="inlineStr">
        <is>
          <t>Tue</t>
        </is>
      </c>
      <c r="L22" s="89" t="n"/>
      <c r="M22" s="90" t="n"/>
      <c r="N22" s="85" t="inlineStr">
        <is>
          <t>https://openstax.org/books/anatomy-and-physiology-2e/pages/10-3-muscle-fiber-contraction-and-relaxation</t>
        </is>
      </c>
      <c r="O22" s="76" t="inlineStr">
        <is>
          <t>Pending</t>
        </is>
      </c>
    </row>
    <row r="23" ht="39.75" customHeight="1" s="50">
      <c r="A23" s="79" t="n">
        <v>7</v>
      </c>
      <c r="B23" s="80" t="inlineStr">
        <is>
          <t>Nervous System</t>
        </is>
      </c>
      <c r="C23" s="81" t="inlineStr">
        <is>
          <t>t-neurons-rmp</t>
        </is>
      </c>
      <c r="D23" s="82" t="inlineStr">
        <is>
          <t>Neurons and Resting Membrane Potential</t>
        </is>
      </c>
      <c r="E23" s="80" t="inlineStr">
        <is>
          <t>Neuron anatomy and how the resting potential is built and maintained.</t>
        </is>
      </c>
      <c r="F23" s="81" t="inlineStr">
        <is>
          <t>neuron, axon, dendrite, resting potential, sodium-potassium pump</t>
        </is>
      </c>
      <c r="G23" s="79" t="n">
        <v>6</v>
      </c>
      <c r="H23" s="79" t="inlineStr">
        <is>
          <t>4 / 1 / 1</t>
        </is>
      </c>
      <c r="I23" s="79" t="n">
        <v>15</v>
      </c>
      <c r="J23" s="79" t="n">
        <v>4</v>
      </c>
      <c r="K23" s="79" t="inlineStr">
        <is>
          <t>Thu</t>
        </is>
      </c>
      <c r="L23" s="83" t="n"/>
      <c r="M23" s="84" t="n"/>
      <c r="N23" s="85" t="inlineStr">
        <is>
          <t>https://openstax.org/books/anatomy-and-physiology-2e/pages/12-2-nervous-tissue</t>
        </is>
      </c>
      <c r="O23" s="79" t="inlineStr">
        <is>
          <t>Pending</t>
        </is>
      </c>
    </row>
    <row r="24" ht="39.75" customHeight="1" s="50">
      <c r="A24" s="69" t="n">
        <v>7</v>
      </c>
      <c r="B24" s="86" t="inlineStr">
        <is>
          <t>Nervous System</t>
        </is>
      </c>
      <c r="C24" s="87" t="inlineStr">
        <is>
          <t>t-action-potentials</t>
        </is>
      </c>
      <c r="D24" s="88" t="inlineStr">
        <is>
          <t>Action Potentials and Synaptic Transmission</t>
        </is>
      </c>
      <c r="E24" s="86" t="inlineStr">
        <is>
          <t>Phases of an action potential, propagation, and how chemical synapses pass the signal on.</t>
        </is>
      </c>
      <c r="F24" s="87" t="inlineStr">
        <is>
          <t>depolarization, repolarization, threshold, neurotransmitter, synapse</t>
        </is>
      </c>
      <c r="G24" s="69" t="n">
        <v>12</v>
      </c>
      <c r="H24" s="69" t="inlineStr">
        <is>
          <t>5 / 3 / 4</t>
        </is>
      </c>
      <c r="I24" s="69" t="n">
        <v>16</v>
      </c>
      <c r="J24" s="69" t="n">
        <v>4</v>
      </c>
      <c r="K24" s="69" t="inlineStr">
        <is>
          <t>Fri</t>
        </is>
      </c>
      <c r="L24" s="89" t="n"/>
      <c r="M24" s="90" t="n"/>
      <c r="N24" s="85" t="inlineStr">
        <is>
          <t>https://openstax.org/books/anatomy-and-physiology-2e/pages/12-4-the-action-potential</t>
        </is>
      </c>
      <c r="O24" s="69" t="inlineStr">
        <is>
          <t>Pending</t>
        </is>
      </c>
    </row>
    <row r="25" ht="39.75" customHeight="1" s="50">
      <c r="A25" s="69" t="n">
        <v>7</v>
      </c>
      <c r="B25" s="86" t="inlineStr">
        <is>
          <t>Nervous System</t>
        </is>
      </c>
      <c r="C25" s="87" t="inlineStr">
        <is>
          <t>t-cns-organization</t>
        </is>
      </c>
      <c r="D25" s="88" t="inlineStr">
        <is>
          <t>CNS Organization: Brain and Spinal Cord</t>
        </is>
      </c>
      <c r="E25" s="86" t="inlineStr">
        <is>
          <t>Brain regions and lobes, meninges, ventricles, and spinal cord anatomy.</t>
        </is>
      </c>
      <c r="F25" s="87" t="inlineStr">
        <is>
          <t>cerebrum, cerebellum, brainstem, spinal cord, meninges</t>
        </is>
      </c>
      <c r="G25" s="69" t="n">
        <v>6</v>
      </c>
      <c r="H25" s="69" t="inlineStr">
        <is>
          <t>4 / 1 / 1</t>
        </is>
      </c>
      <c r="I25" s="69" t="n">
        <v>17</v>
      </c>
      <c r="J25" s="69" t="n">
        <v>5</v>
      </c>
      <c r="K25" s="69" t="inlineStr">
        <is>
          <t>Mon</t>
        </is>
      </c>
      <c r="L25" s="89" t="n"/>
      <c r="M25" s="90" t="n"/>
      <c r="N25" s="85" t="inlineStr">
        <is>
          <t>https://openstax.org/books/anatomy-and-physiology-2e/pages/13-2-the-central-nervous-system</t>
        </is>
      </c>
      <c r="O25" s="69" t="inlineStr">
        <is>
          <t>Pending</t>
        </is>
      </c>
    </row>
    <row r="26" ht="39.75" customHeight="1" s="50">
      <c r="A26" s="69" t="n">
        <v>7</v>
      </c>
      <c r="B26" s="86" t="inlineStr">
        <is>
          <t>Nervous System</t>
        </is>
      </c>
      <c r="C26" s="87" t="inlineStr">
        <is>
          <t>t-pns-autonomic</t>
        </is>
      </c>
      <c r="D26" s="88" t="inlineStr">
        <is>
          <t>PNS and Autonomic Nervous System</t>
        </is>
      </c>
      <c r="E26" s="86" t="inlineStr">
        <is>
          <t>Cranial and spinal nerves, reflex arcs, and the sympathetic vs parasympathetic divisions.</t>
        </is>
      </c>
      <c r="F26" s="87" t="inlineStr">
        <is>
          <t>sympathetic, parasympathetic, cranial nerves, reflex, ganglion</t>
        </is>
      </c>
      <c r="G26" s="69" t="n">
        <v>6</v>
      </c>
      <c r="H26" s="69" t="inlineStr">
        <is>
          <t>4 / 1 / 1</t>
        </is>
      </c>
      <c r="I26" s="69" t="n">
        <v>18</v>
      </c>
      <c r="J26" s="69" t="n">
        <v>5</v>
      </c>
      <c r="K26" s="69" t="inlineStr">
        <is>
          <t>Tue</t>
        </is>
      </c>
      <c r="L26" s="89" t="n"/>
      <c r="M26" s="90" t="n"/>
      <c r="N26" s="85" t="inlineStr">
        <is>
          <t>https://openstax.org/books/anatomy-and-physiology-2e/pages/15-1-divisions-of-the-autonomic-nervous-system</t>
        </is>
      </c>
      <c r="O26" s="69" t="inlineStr">
        <is>
          <t>Pending</t>
        </is>
      </c>
    </row>
    <row r="27" ht="39.75" customHeight="1" s="50">
      <c r="A27" s="91" t="n">
        <v>8</v>
      </c>
      <c r="B27" s="92" t="inlineStr">
        <is>
          <t>Special Senses</t>
        </is>
      </c>
      <c r="C27" s="93" t="inlineStr">
        <is>
          <t>t-vision</t>
        </is>
      </c>
      <c r="D27" s="94" t="inlineStr">
        <is>
          <t>Vision</t>
        </is>
      </c>
      <c r="E27" s="92" t="inlineStr">
        <is>
          <t>Eye anatomy, accommodation, and photoreceptor function.</t>
        </is>
      </c>
      <c r="F27" s="93" t="inlineStr">
        <is>
          <t>retina, rod, cone, lens, photoreceptor</t>
        </is>
      </c>
      <c r="G27" s="91" t="n">
        <v>6</v>
      </c>
      <c r="H27" s="91" t="inlineStr">
        <is>
          <t>3 / 2 / 1</t>
        </is>
      </c>
      <c r="I27" s="91" t="n">
        <v>19</v>
      </c>
      <c r="J27" s="91" t="n">
        <v>5</v>
      </c>
      <c r="K27" s="91" t="inlineStr">
        <is>
          <t>Thu</t>
        </is>
      </c>
      <c r="L27" s="83" t="n"/>
      <c r="M27" s="84" t="n"/>
      <c r="N27" s="85" t="inlineStr">
        <is>
          <t>https://openstax.org/books/anatomy-and-physiology-2e/pages/14-1-sensory-perception</t>
        </is>
      </c>
      <c r="O27" s="91" t="inlineStr">
        <is>
          <t>Pending</t>
        </is>
      </c>
    </row>
    <row r="28" ht="39.75" customHeight="1" s="50">
      <c r="A28" s="76" t="n">
        <v>8</v>
      </c>
      <c r="B28" s="95" t="inlineStr">
        <is>
          <t>Special Senses</t>
        </is>
      </c>
      <c r="C28" s="96" t="inlineStr">
        <is>
          <t>t-hearing-equilibrium</t>
        </is>
      </c>
      <c r="D28" s="97" t="inlineStr">
        <is>
          <t>Hearing and Equilibrium</t>
        </is>
      </c>
      <c r="E28" s="95" t="inlineStr">
        <is>
          <t>Cochlear transduction of sound and vestibular detection of head motion.</t>
        </is>
      </c>
      <c r="F28" s="96" t="inlineStr">
        <is>
          <t>cochlea, hair cell, vestibule, semicircular canal, organ of Corti</t>
        </is>
      </c>
      <c r="G28" s="76" t="n">
        <v>5</v>
      </c>
      <c r="H28" s="76" t="inlineStr">
        <is>
          <t>3 / 1 / 1</t>
        </is>
      </c>
      <c r="I28" s="76" t="n">
        <v>19</v>
      </c>
      <c r="J28" s="76" t="n">
        <v>5</v>
      </c>
      <c r="K28" s="76" t="inlineStr">
        <is>
          <t>Thu</t>
        </is>
      </c>
      <c r="L28" s="89" t="n"/>
      <c r="M28" s="90" t="n"/>
      <c r="N28" s="85" t="inlineStr">
        <is>
          <t>https://openstax.org/books/anatomy-and-physiology-2e/pages/14-1-sensory-perception</t>
        </is>
      </c>
      <c r="O28" s="76" t="inlineStr">
        <is>
          <t>Pending</t>
        </is>
      </c>
    </row>
    <row r="29" ht="39.75" customHeight="1" s="50">
      <c r="A29" s="79" t="n">
        <v>9</v>
      </c>
      <c r="B29" s="80" t="inlineStr">
        <is>
          <t>Endocrine System</t>
        </is>
      </c>
      <c r="C29" s="81" t="inlineStr">
        <is>
          <t>t-hormone-mechanisms</t>
        </is>
      </c>
      <c r="D29" s="82" t="inlineStr">
        <is>
          <t>Hormone Mechanisms</t>
        </is>
      </c>
      <c r="E29" s="80" t="inlineStr">
        <is>
          <t>Steroid vs peptide vs amino-acid-derived hormones, and how each transduces a signal.</t>
        </is>
      </c>
      <c r="F29" s="81" t="inlineStr">
        <is>
          <t>hormone, receptor, second messenger, steroid, peptide</t>
        </is>
      </c>
      <c r="G29" s="79" t="n">
        <v>5</v>
      </c>
      <c r="H29" s="79" t="inlineStr">
        <is>
          <t>3 / 1 / 1</t>
        </is>
      </c>
      <c r="I29" s="79" t="n">
        <v>20</v>
      </c>
      <c r="J29" s="79" t="n">
        <v>5</v>
      </c>
      <c r="K29" s="79" t="inlineStr">
        <is>
          <t>Fri</t>
        </is>
      </c>
      <c r="L29" s="83" t="n"/>
      <c r="M29" s="84" t="n"/>
      <c r="N29" s="85" t="inlineStr">
        <is>
          <t>https://openstax.org/books/anatomy-and-physiology-2e/pages/17-2-hormones</t>
        </is>
      </c>
      <c r="O29" s="79" t="inlineStr">
        <is>
          <t>Pending</t>
        </is>
      </c>
    </row>
    <row r="30" ht="39.75" customHeight="1" s="50">
      <c r="A30" s="69" t="n">
        <v>9</v>
      </c>
      <c r="B30" s="86" t="inlineStr">
        <is>
          <t>Endocrine System</t>
        </is>
      </c>
      <c r="C30" s="87" t="inlineStr">
        <is>
          <t>t-major-glands</t>
        </is>
      </c>
      <c r="D30" s="88" t="inlineStr">
        <is>
          <t>Major Endocrine Glands</t>
        </is>
      </c>
      <c r="E30" s="86" t="inlineStr">
        <is>
          <t>Pituitary, thyroid, parathyroid, adrenal, pancreas, gonads: who makes what and what it does.</t>
        </is>
      </c>
      <c r="F30" s="87" t="inlineStr">
        <is>
          <t>pituitary, thyroid, adrenal, pancreas, insulin</t>
        </is>
      </c>
      <c r="G30" s="69" t="n">
        <v>6</v>
      </c>
      <c r="H30" s="69" t="inlineStr">
        <is>
          <t>4 / 1 / 1</t>
        </is>
      </c>
      <c r="I30" s="69" t="n">
        <v>20</v>
      </c>
      <c r="J30" s="69" t="n">
        <v>5</v>
      </c>
      <c r="K30" s="69" t="inlineStr">
        <is>
          <t>Fri</t>
        </is>
      </c>
      <c r="L30" s="89" t="n"/>
      <c r="M30" s="90" t="n"/>
      <c r="N30" s="85" t="inlineStr">
        <is>
          <t>https://openstax.org/books/anatomy-and-physiology-2e/pages/17-1-an-overview-of-the-endocrine-system</t>
        </is>
      </c>
      <c r="O30" s="69" t="inlineStr">
        <is>
          <t>Pending</t>
        </is>
      </c>
    </row>
    <row r="31" ht="39.75" customHeight="1" s="50">
      <c r="A31" s="91" t="n">
        <v>10</v>
      </c>
      <c r="B31" s="92" t="inlineStr">
        <is>
          <t>Blood</t>
        </is>
      </c>
      <c r="C31" s="93" t="inlineStr">
        <is>
          <t>t-blood-composition</t>
        </is>
      </c>
      <c r="D31" s="94" t="inlineStr">
        <is>
          <t>Blood Composition and Hemopoiesis</t>
        </is>
      </c>
      <c r="E31" s="92" t="inlineStr">
        <is>
          <t>Plasma, formed elements, and how blood cells are made in red marrow.</t>
        </is>
      </c>
      <c r="F31" s="93" t="inlineStr">
        <is>
          <t>plasma, erythrocyte, hemoglobin, leukocyte, platelet</t>
        </is>
      </c>
      <c r="G31" s="91" t="n">
        <v>6</v>
      </c>
      <c r="H31" s="91" t="inlineStr">
        <is>
          <t>4 / 1 / 1</t>
        </is>
      </c>
      <c r="I31" s="91" t="n">
        <v>21</v>
      </c>
      <c r="J31" s="91" t="n">
        <v>6</v>
      </c>
      <c r="K31" s="91" t="inlineStr">
        <is>
          <t>Mon</t>
        </is>
      </c>
      <c r="L31" s="83" t="n"/>
      <c r="M31" s="84" t="n"/>
      <c r="N31" s="85" t="inlineStr">
        <is>
          <t>https://openstax.org/books/anatomy-and-physiology-2e/pages/18-1-functions-of-blood</t>
        </is>
      </c>
      <c r="O31" s="91" t="inlineStr">
        <is>
          <t>Pending</t>
        </is>
      </c>
    </row>
    <row r="32" ht="39.75" customHeight="1" s="50">
      <c r="A32" s="76" t="n">
        <v>10</v>
      </c>
      <c r="B32" s="95" t="inlineStr">
        <is>
          <t>Blood</t>
        </is>
      </c>
      <c r="C32" s="96" t="inlineStr">
        <is>
          <t>t-hemostasis-blood-typing</t>
        </is>
      </c>
      <c r="D32" s="97" t="inlineStr">
        <is>
          <t>Hemostasis and Blood Typing</t>
        </is>
      </c>
      <c r="E32" s="95" t="inlineStr">
        <is>
          <t>Stopping bleeding in three steps, and the basics of ABO and Rh.</t>
        </is>
      </c>
      <c r="F32" s="96" t="inlineStr">
        <is>
          <t>hemostasis, platelet plug, fibrin, ABO, Rh</t>
        </is>
      </c>
      <c r="G32" s="76" t="n">
        <v>6</v>
      </c>
      <c r="H32" s="76" t="inlineStr">
        <is>
          <t>4 / 1 / 1</t>
        </is>
      </c>
      <c r="I32" s="76" t="n">
        <v>21</v>
      </c>
      <c r="J32" s="76" t="n">
        <v>6</v>
      </c>
      <c r="K32" s="76" t="inlineStr">
        <is>
          <t>Mon</t>
        </is>
      </c>
      <c r="L32" s="89" t="n"/>
      <c r="M32" s="90" t="n"/>
      <c r="N32" s="85" t="inlineStr">
        <is>
          <t>https://openstax.org/books/anatomy-and-physiology-2e/pages/18-5-hemostasis</t>
        </is>
      </c>
      <c r="O32" s="76" t="inlineStr">
        <is>
          <t>Pending</t>
        </is>
      </c>
    </row>
    <row r="33" ht="39.75" customHeight="1" s="50">
      <c r="A33" s="79" t="n">
        <v>11</v>
      </c>
      <c r="B33" s="80" t="inlineStr">
        <is>
          <t>Cardiovascular System</t>
        </is>
      </c>
      <c r="C33" s="81" t="inlineStr">
        <is>
          <t>t-heart-cardiac-cycle</t>
        </is>
      </c>
      <c r="D33" s="82" t="inlineStr">
        <is>
          <t>Heart Anatomy and the Cardiac Cycle</t>
        </is>
      </c>
      <c r="E33" s="80" t="inlineStr">
        <is>
          <t>Chambers, valves, great vessels, and the pressure-volume story of one heartbeat.</t>
        </is>
      </c>
      <c r="F33" s="81" t="inlineStr">
        <is>
          <t>atrium, ventricle, valve, systole, diastole</t>
        </is>
      </c>
      <c r="G33" s="79" t="n">
        <v>12</v>
      </c>
      <c r="H33" s="79" t="inlineStr">
        <is>
          <t>5 / 3 / 4</t>
        </is>
      </c>
      <c r="I33" s="79" t="n">
        <v>22</v>
      </c>
      <c r="J33" s="79" t="n">
        <v>6</v>
      </c>
      <c r="K33" s="79" t="inlineStr">
        <is>
          <t>Tue</t>
        </is>
      </c>
      <c r="L33" s="83" t="n"/>
      <c r="M33" s="84" t="n"/>
      <c r="N33" s="85" t="inlineStr">
        <is>
          <t>https://openstax.org/books/anatomy-and-physiology-2e/pages/19-1-heart-anatomy</t>
        </is>
      </c>
      <c r="O33" s="79" t="inlineStr">
        <is>
          <t>Pending</t>
        </is>
      </c>
    </row>
    <row r="34" ht="39.75" customHeight="1" s="50">
      <c r="A34" s="69" t="n">
        <v>11</v>
      </c>
      <c r="B34" s="86" t="inlineStr">
        <is>
          <t>Cardiovascular System</t>
        </is>
      </c>
      <c r="C34" s="87" t="inlineStr">
        <is>
          <t>t-conduction-ecg</t>
        </is>
      </c>
      <c r="D34" s="88" t="inlineStr">
        <is>
          <t>Cardiac Conduction System</t>
        </is>
      </c>
      <c r="E34" s="86" t="inlineStr">
        <is>
          <t>How the heart paces itself: pacemaker, delay, and rapid ventricular spread.</t>
        </is>
      </c>
      <c r="F34" s="87" t="inlineStr">
        <is>
          <t>SA node, AV node, Purkinje, pacemaker, bundle of His</t>
        </is>
      </c>
      <c r="G34" s="69" t="n">
        <v>8</v>
      </c>
      <c r="H34" s="69" t="inlineStr">
        <is>
          <t>4 / 2 / 2</t>
        </is>
      </c>
      <c r="I34" s="69" t="n">
        <v>23</v>
      </c>
      <c r="J34" s="69" t="n">
        <v>6</v>
      </c>
      <c r="K34" s="69" t="inlineStr">
        <is>
          <t>Thu</t>
        </is>
      </c>
      <c r="L34" s="89" t="n"/>
      <c r="M34" s="90" t="n"/>
      <c r="N34" s="85" t="inlineStr">
        <is>
          <t>https://openstax.org/books/anatomy-and-physiology-2e/pages/19-2-cardiac-muscle-and-electrical-activity</t>
        </is>
      </c>
      <c r="O34" s="69" t="inlineStr">
        <is>
          <t>Pending</t>
        </is>
      </c>
    </row>
    <row r="35" ht="39.75" customHeight="1" s="50">
      <c r="A35" s="69" t="n">
        <v>11</v>
      </c>
      <c r="B35" s="86" t="inlineStr">
        <is>
          <t>Cardiovascular System</t>
        </is>
      </c>
      <c r="C35" s="87" t="inlineStr">
        <is>
          <t>t-vessels-hemodynamics</t>
        </is>
      </c>
      <c r="D35" s="88" t="inlineStr">
        <is>
          <t>Blood Vessels and Hemodynamics</t>
        </is>
      </c>
      <c r="E35" s="86" t="inlineStr">
        <is>
          <t>Vessel types, blood pressure determinants, and how flow is regulated.</t>
        </is>
      </c>
      <c r="F35" s="87" t="inlineStr">
        <is>
          <t>artery, vein, capillary, blood pressure, resistance</t>
        </is>
      </c>
      <c r="G35" s="69" t="n">
        <v>5</v>
      </c>
      <c r="H35" s="69" t="inlineStr">
        <is>
          <t>3 / 1 / 1</t>
        </is>
      </c>
      <c r="I35" s="69" t="n">
        <v>24</v>
      </c>
      <c r="J35" s="69" t="n">
        <v>6</v>
      </c>
      <c r="K35" s="69" t="inlineStr">
        <is>
          <t>Fri</t>
        </is>
      </c>
      <c r="L35" s="89" t="n"/>
      <c r="M35" s="90" t="n"/>
      <c r="N35" s="85" t="inlineStr">
        <is>
          <t>https://openstax.org/books/anatomy-and-physiology-2e/pages/20-2-blood-flow-blood-pressure-and-resistance</t>
        </is>
      </c>
      <c r="O35" s="69" t="inlineStr">
        <is>
          <t>Pending</t>
        </is>
      </c>
    </row>
    <row r="36" ht="39.75" customHeight="1" s="50">
      <c r="A36" s="91" t="n">
        <v>12</v>
      </c>
      <c r="B36" s="92" t="inlineStr">
        <is>
          <t>Lymphatic and Immune System</t>
        </is>
      </c>
      <c r="C36" s="93" t="inlineStr">
        <is>
          <t>t-lymphatic-innate</t>
        </is>
      </c>
      <c r="D36" s="94" t="inlineStr">
        <is>
          <t>Lymphatic System and Innate Immunity</t>
        </is>
      </c>
      <c r="E36" s="92" t="inlineStr">
        <is>
          <t>Lymph vessels, lymphoid organs, and the body's general (non-specific) defenses.</t>
        </is>
      </c>
      <c r="F36" s="93" t="inlineStr">
        <is>
          <t>lymph, lymphocyte, innate, phagocyte, inflammation</t>
        </is>
      </c>
      <c r="G36" s="91" t="n">
        <v>5</v>
      </c>
      <c r="H36" s="91" t="inlineStr">
        <is>
          <t>3 / 1 / 1</t>
        </is>
      </c>
      <c r="I36" s="91" t="n">
        <v>25</v>
      </c>
      <c r="J36" s="91" t="n">
        <v>7</v>
      </c>
      <c r="K36" s="91" t="inlineStr">
        <is>
          <t>Mon</t>
        </is>
      </c>
      <c r="L36" s="83" t="n"/>
      <c r="M36" s="84" t="n"/>
      <c r="N36" s="85" t="inlineStr">
        <is>
          <t>https://openstax.org/books/anatomy-and-physiology-2e/pages/21-2-barrier-defenses-and-the-innate-immune-response</t>
        </is>
      </c>
      <c r="O36" s="91" t="inlineStr">
        <is>
          <t>Pending</t>
        </is>
      </c>
    </row>
    <row r="37" ht="39.75" customHeight="1" s="50">
      <c r="A37" s="76" t="n">
        <v>12</v>
      </c>
      <c r="B37" s="95" t="inlineStr">
        <is>
          <t>Lymphatic and Immune System</t>
        </is>
      </c>
      <c r="C37" s="96" t="inlineStr">
        <is>
          <t>t-adaptive-immunity</t>
        </is>
      </c>
      <c r="D37" s="97" t="inlineStr">
        <is>
          <t>Adaptive Immunity</t>
        </is>
      </c>
      <c r="E37" s="95" t="inlineStr">
        <is>
          <t>Specificity and memory: how B and T cells learn what to attack and remember it.</t>
        </is>
      </c>
      <c r="F37" s="96" t="inlineStr">
        <is>
          <t>B cell, T cell, antibody, antigen, MHC</t>
        </is>
      </c>
      <c r="G37" s="76" t="n">
        <v>12</v>
      </c>
      <c r="H37" s="76" t="inlineStr">
        <is>
          <t>5 / 3 / 4</t>
        </is>
      </c>
      <c r="I37" s="76" t="n">
        <v>26</v>
      </c>
      <c r="J37" s="76" t="n">
        <v>7</v>
      </c>
      <c r="K37" s="76" t="inlineStr">
        <is>
          <t>Tue</t>
        </is>
      </c>
      <c r="L37" s="89" t="n"/>
      <c r="M37" s="90" t="n"/>
      <c r="N37" s="85" t="inlineStr">
        <is>
          <t>https://openstax.org/books/anatomy-and-physiology-2e/pages/21-3-the-adaptive-immune-response-t-lymphocytes-and-their-functional-types</t>
        </is>
      </c>
      <c r="O37" s="76" t="inlineStr">
        <is>
          <t>Pending</t>
        </is>
      </c>
    </row>
    <row r="38" ht="39.75" customHeight="1" s="50">
      <c r="A38" s="79" t="n">
        <v>13</v>
      </c>
      <c r="B38" s="80" t="inlineStr">
        <is>
          <t>Respiratory System</t>
        </is>
      </c>
      <c r="C38" s="81" t="inlineStr">
        <is>
          <t>t-resp-anatomy-mechanics</t>
        </is>
      </c>
      <c r="D38" s="82" t="inlineStr">
        <is>
          <t>Respiratory Anatomy and Mechanics</t>
        </is>
      </c>
      <c r="E38" s="80" t="inlineStr">
        <is>
          <t>Conducting vs respiratory zones, and how pressure changes move air in and out.</t>
        </is>
      </c>
      <c r="F38" s="81" t="inlineStr">
        <is>
          <t>trachea, alveolus, diaphragm, pleura, Boyle</t>
        </is>
      </c>
      <c r="G38" s="79" t="n">
        <v>6</v>
      </c>
      <c r="H38" s="79" t="inlineStr">
        <is>
          <t>4 / 1 / 1</t>
        </is>
      </c>
      <c r="I38" s="79" t="n">
        <v>27</v>
      </c>
      <c r="J38" s="79" t="n">
        <v>7</v>
      </c>
      <c r="K38" s="79" t="inlineStr">
        <is>
          <t>Thu</t>
        </is>
      </c>
      <c r="L38" s="83" t="n"/>
      <c r="M38" s="84" t="n"/>
      <c r="N38" s="85" t="inlineStr">
        <is>
          <t>https://openstax.org/books/anatomy-and-physiology-2e/pages/22-1-organs-and-structures-of-the-respiratory-system</t>
        </is>
      </c>
      <c r="O38" s="79" t="inlineStr">
        <is>
          <t>Pending</t>
        </is>
      </c>
    </row>
    <row r="39" ht="39.75" customHeight="1" s="50">
      <c r="A39" s="69" t="n">
        <v>13</v>
      </c>
      <c r="B39" s="86" t="inlineStr">
        <is>
          <t>Respiratory System</t>
        </is>
      </c>
      <c r="C39" s="87" t="inlineStr">
        <is>
          <t>t-gas-exchange-transport</t>
        </is>
      </c>
      <c r="D39" s="88" t="inlineStr">
        <is>
          <t>Gas Exchange and Transport</t>
        </is>
      </c>
      <c r="E39" s="86" t="inlineStr">
        <is>
          <t>Diffusion at the alveoli and tissues, and how O₂ and CO₂ ride in the blood.</t>
        </is>
      </c>
      <c r="F39" s="87" t="inlineStr">
        <is>
          <t>alveolus, oxygen, carbon dioxide, hemoglobin, partial pressure</t>
        </is>
      </c>
      <c r="G39" s="69" t="n">
        <v>12</v>
      </c>
      <c r="H39" s="69" t="inlineStr">
        <is>
          <t>4 / 4 / 4</t>
        </is>
      </c>
      <c r="I39" s="69" t="n">
        <v>27</v>
      </c>
      <c r="J39" s="69" t="n">
        <v>7</v>
      </c>
      <c r="K39" s="69" t="inlineStr">
        <is>
          <t>Thu</t>
        </is>
      </c>
      <c r="L39" s="89" t="n"/>
      <c r="M39" s="90" t="n"/>
      <c r="N39" s="85" t="inlineStr">
        <is>
          <t>https://openstax.org/books/anatomy-and-physiology-2e/pages/22-4-gas-exchange</t>
        </is>
      </c>
      <c r="O39" s="69" t="inlineStr">
        <is>
          <t>Pending</t>
        </is>
      </c>
    </row>
    <row r="40" ht="39.75" customHeight="1" s="50">
      <c r="A40" s="91" t="n">
        <v>14</v>
      </c>
      <c r="B40" s="92" t="inlineStr">
        <is>
          <t>Digestive System</t>
        </is>
      </c>
      <c r="C40" s="93" t="inlineStr">
        <is>
          <t>t-gi-anatomy-motility</t>
        </is>
      </c>
      <c r="D40" s="94" t="inlineStr">
        <is>
          <t>GI Tract Anatomy and Motility</t>
        </is>
      </c>
      <c r="E40" s="92" t="inlineStr">
        <is>
          <t>From mouth to anus, the layers of the gut wall, and how food moves.</t>
        </is>
      </c>
      <c r="F40" s="93" t="inlineStr">
        <is>
          <t>esophagus, stomach, small intestine, peristalsis, sphincter</t>
        </is>
      </c>
      <c r="G40" s="91" t="n">
        <v>6</v>
      </c>
      <c r="H40" s="91" t="inlineStr">
        <is>
          <t>4 / 1 / 1</t>
        </is>
      </c>
      <c r="I40" s="91" t="n">
        <v>28</v>
      </c>
      <c r="J40" s="91" t="n">
        <v>7</v>
      </c>
      <c r="K40" s="91" t="inlineStr">
        <is>
          <t>Fri</t>
        </is>
      </c>
      <c r="L40" s="83" t="n"/>
      <c r="M40" s="84" t="n"/>
      <c r="N40" s="85" t="inlineStr">
        <is>
          <t>https://openstax.org/books/anatomy-and-physiology-2e/pages/23-1-overview-of-the-digestive-system</t>
        </is>
      </c>
      <c r="O40" s="91" t="inlineStr">
        <is>
          <t>Pending</t>
        </is>
      </c>
    </row>
    <row r="41" ht="39.75" customHeight="1" s="50">
      <c r="A41" s="76" t="n">
        <v>14</v>
      </c>
      <c r="B41" s="95" t="inlineStr">
        <is>
          <t>Digestive System</t>
        </is>
      </c>
      <c r="C41" s="96" t="inlineStr">
        <is>
          <t>t-digestion-absorption</t>
        </is>
      </c>
      <c r="D41" s="97" t="inlineStr">
        <is>
          <t>Digestion and Absorption</t>
        </is>
      </c>
      <c r="E41" s="95" t="inlineStr">
        <is>
          <t>Where each macromolecule gets broken down and how absorption happens.</t>
        </is>
      </c>
      <c r="F41" s="96" t="inlineStr">
        <is>
          <t>enzyme, villi, bile, pancreas, absorption</t>
        </is>
      </c>
      <c r="G41" s="76" t="n">
        <v>6</v>
      </c>
      <c r="H41" s="76" t="inlineStr">
        <is>
          <t>4 / 1 / 1</t>
        </is>
      </c>
      <c r="I41" s="76" t="n">
        <v>28</v>
      </c>
      <c r="J41" s="76" t="n">
        <v>7</v>
      </c>
      <c r="K41" s="76" t="inlineStr">
        <is>
          <t>Fri</t>
        </is>
      </c>
      <c r="L41" s="89" t="n"/>
      <c r="M41" s="90" t="n"/>
      <c r="N41" s="85" t="inlineStr">
        <is>
          <t>https://openstax.org/books/anatomy-and-physiology-2e/pages/23-7-chemical-digestion-and-absorption-a-closer-look</t>
        </is>
      </c>
      <c r="O41" s="76" t="inlineStr">
        <is>
          <t>Pending</t>
        </is>
      </c>
    </row>
    <row r="42" ht="39.75" customHeight="1" s="50">
      <c r="A42" s="79" t="n">
        <v>15</v>
      </c>
      <c r="B42" s="80" t="inlineStr">
        <is>
          <t>Urinary System and Fluid Balance</t>
        </is>
      </c>
      <c r="C42" s="81" t="inlineStr">
        <is>
          <t>t-kidney-filtration</t>
        </is>
      </c>
      <c r="D42" s="82" t="inlineStr">
        <is>
          <t>Kidney Anatomy and Glomerular Filtration</t>
        </is>
      </c>
      <c r="E42" s="80" t="inlineStr">
        <is>
          <t>From renal cortex to nephron to filtration barrier: how urine starts.</t>
        </is>
      </c>
      <c r="F42" s="81" t="inlineStr">
        <is>
          <t>nephron, glomerulus, Bowman, filtration, GFR</t>
        </is>
      </c>
      <c r="G42" s="79" t="n">
        <v>6</v>
      </c>
      <c r="H42" s="79" t="inlineStr">
        <is>
          <t>4 / 1 / 1</t>
        </is>
      </c>
      <c r="I42" s="79" t="n">
        <v>29</v>
      </c>
      <c r="J42" s="79" t="n">
        <v>8</v>
      </c>
      <c r="K42" s="79" t="inlineStr">
        <is>
          <t>Mon</t>
        </is>
      </c>
      <c r="L42" s="83" t="n"/>
      <c r="M42" s="84" t="n"/>
      <c r="N42" s="85" t="inlineStr">
        <is>
          <t>https://openstax.org/books/anatomy-and-physiology-2e/pages/25-3-physiology-of-urine-formation</t>
        </is>
      </c>
      <c r="O42" s="79" t="inlineStr">
        <is>
          <t>Pending</t>
        </is>
      </c>
    </row>
    <row r="43" ht="39.75" customHeight="1" s="50">
      <c r="A43" s="69" t="n">
        <v>15</v>
      </c>
      <c r="B43" s="86" t="inlineStr">
        <is>
          <t>Urinary System and Fluid Balance</t>
        </is>
      </c>
      <c r="C43" s="87" t="inlineStr">
        <is>
          <t>t-tubular-function</t>
        </is>
      </c>
      <c r="D43" s="88" t="inlineStr">
        <is>
          <t>Tubular Function and Urine Concentration</t>
        </is>
      </c>
      <c r="E43" s="86" t="inlineStr">
        <is>
          <t>How the tubules reshape the filtrate into a final urine, and how ADH and aldosterone fine-tune it.</t>
        </is>
      </c>
      <c r="F43" s="87" t="inlineStr">
        <is>
          <t>PCT, loop of Henle, DCT, collecting duct, ADH</t>
        </is>
      </c>
      <c r="G43" s="69" t="n">
        <v>12</v>
      </c>
      <c r="H43" s="69" t="inlineStr">
        <is>
          <t>5 / 3 / 4</t>
        </is>
      </c>
      <c r="I43" s="69" t="n">
        <v>30</v>
      </c>
      <c r="J43" s="69" t="n">
        <v>8</v>
      </c>
      <c r="K43" s="69" t="inlineStr">
        <is>
          <t>Tue</t>
        </is>
      </c>
      <c r="L43" s="89" t="n"/>
      <c r="M43" s="90" t="n"/>
      <c r="N43" s="85" t="inlineStr">
        <is>
          <t>https://openstax.org/books/anatomy-and-physiology-2e/pages/25-4-physiology-of-urine-formation-tubular-reabsorption-and-secretion</t>
        </is>
      </c>
      <c r="O43" s="69" t="inlineStr">
        <is>
          <t>Pending</t>
        </is>
      </c>
    </row>
    <row r="44" ht="39.75" customHeight="1" s="50">
      <c r="A44" s="69" t="n">
        <v>15</v>
      </c>
      <c r="B44" s="86" t="inlineStr">
        <is>
          <t>Urinary System and Fluid Balance</t>
        </is>
      </c>
      <c r="C44" s="87" t="inlineStr">
        <is>
          <t>t-fluid-acid-base</t>
        </is>
      </c>
      <c r="D44" s="88" t="inlineStr">
        <is>
          <t>Fluid, Electrolyte, and Acid-Base Balance</t>
        </is>
      </c>
      <c r="E44" s="86" t="inlineStr">
        <is>
          <t>Body fluid compartments, the main electrolytes, and how the body keeps pH near 7.4.</t>
        </is>
      </c>
      <c r="F44" s="87" t="inlineStr">
        <is>
          <t>ICF, ECF, sodium, potassium, pH</t>
        </is>
      </c>
      <c r="G44" s="69" t="n">
        <v>6</v>
      </c>
      <c r="H44" s="69" t="inlineStr">
        <is>
          <t>4 / 1 / 1</t>
        </is>
      </c>
      <c r="I44" s="69" t="n">
        <v>31</v>
      </c>
      <c r="J44" s="69" t="n">
        <v>8</v>
      </c>
      <c r="K44" s="69" t="inlineStr">
        <is>
          <t>Thu</t>
        </is>
      </c>
      <c r="L44" s="89" t="n"/>
      <c r="M44" s="90" t="n"/>
      <c r="N44" s="85" t="inlineStr">
        <is>
          <t>https://openstax.org/books/anatomy-and-physiology-2e/pages/26-4-acid-base-balance</t>
        </is>
      </c>
      <c r="O44" s="69" t="inlineStr">
        <is>
          <t>Pending</t>
        </is>
      </c>
    </row>
    <row r="45" ht="39.75" customHeight="1" s="50">
      <c r="A45" s="91" t="n">
        <v>16</v>
      </c>
      <c r="B45" s="92" t="inlineStr">
        <is>
          <t>Reproductive System</t>
        </is>
      </c>
      <c r="C45" s="93" t="inlineStr">
        <is>
          <t>t-male-reproductive</t>
        </is>
      </c>
      <c r="D45" s="94" t="inlineStr">
        <is>
          <t>Male Reproductive System</t>
        </is>
      </c>
      <c r="E45" s="92" t="inlineStr">
        <is>
          <t>Testis structure, spermatogenesis, accessory glands, and the hormonal axis.</t>
        </is>
      </c>
      <c r="F45" s="93" t="inlineStr">
        <is>
          <t>testis, sperm, seminiferous, spermatogenesis, testosterone</t>
        </is>
      </c>
      <c r="G45" s="91" t="n">
        <v>6</v>
      </c>
      <c r="H45" s="91" t="inlineStr">
        <is>
          <t>4 / 1 / 1</t>
        </is>
      </c>
      <c r="I45" s="91" t="n">
        <v>31</v>
      </c>
      <c r="J45" s="91" t="n">
        <v>8</v>
      </c>
      <c r="K45" s="91" t="inlineStr">
        <is>
          <t>Thu</t>
        </is>
      </c>
      <c r="L45" s="83" t="n"/>
      <c r="M45" s="84" t="n"/>
      <c r="N45" s="85" t="inlineStr">
        <is>
          <t>https://openstax.org/books/anatomy-and-physiology-2e/pages/27-1-anatomy-and-physiology-of-the-testicular-reproductive-system</t>
        </is>
      </c>
      <c r="O45" s="91" t="inlineStr">
        <is>
          <t>Pending</t>
        </is>
      </c>
    </row>
    <row r="46" ht="39.75" customHeight="1" s="50">
      <c r="A46" s="76" t="n">
        <v>16</v>
      </c>
      <c r="B46" s="95" t="inlineStr">
        <is>
          <t>Reproductive System</t>
        </is>
      </c>
      <c r="C46" s="96" t="inlineStr">
        <is>
          <t>t-female-reproductive</t>
        </is>
      </c>
      <c r="D46" s="97" t="inlineStr">
        <is>
          <t>Female Reproductive System</t>
        </is>
      </c>
      <c r="E46" s="95" t="inlineStr">
        <is>
          <t>Ovary, oogenesis, the ovarian and uterine cycles, and the hormonal choreography.</t>
        </is>
      </c>
      <c r="F46" s="96" t="inlineStr">
        <is>
          <t>ovary, ovulation, uterus, estrogen, progesterone</t>
        </is>
      </c>
      <c r="G46" s="76" t="n">
        <v>6</v>
      </c>
      <c r="H46" s="76" t="inlineStr">
        <is>
          <t>4 / 1 / 1</t>
        </is>
      </c>
      <c r="I46" s="76" t="n">
        <v>32</v>
      </c>
      <c r="J46" s="76" t="n">
        <v>8</v>
      </c>
      <c r="K46" s="76" t="inlineStr">
        <is>
          <t>Fri</t>
        </is>
      </c>
      <c r="L46" s="89" t="n"/>
      <c r="M46" s="90" t="n"/>
      <c r="N46" s="85" t="inlineStr">
        <is>
          <t>https://openstax.org/books/anatomy-and-physiology-2e/pages/27-2-anatomy-and-physiology-of-the-ovarian-reproductive-system</t>
        </is>
      </c>
      <c r="O46" s="76" t="inlineStr">
        <is>
          <t>Pending</t>
        </is>
      </c>
    </row>
    <row r="47" ht="39.75" customHeight="1" s="50">
      <c r="A47" s="76" t="n">
        <v>16</v>
      </c>
      <c r="B47" s="95" t="inlineStr">
        <is>
          <t>Reproductive System</t>
        </is>
      </c>
      <c r="C47" s="96" t="inlineStr">
        <is>
          <t>t-pregnancy-development</t>
        </is>
      </c>
      <c r="D47" s="97" t="inlineStr">
        <is>
          <t>Pregnancy A&amp;P (Basics)</t>
        </is>
      </c>
      <c r="E47" s="95" t="inlineStr">
        <is>
          <t>Fertilization, implantation, and the maternal-fetal interface. Maternal physiology highlights through the trimesters.</t>
        </is>
      </c>
      <c r="F47" s="96" t="inlineStr">
        <is>
          <t>fertilization, implantation, placenta, hCG, corpus luteum</t>
        </is>
      </c>
      <c r="G47" s="76" t="n">
        <v>7</v>
      </c>
      <c r="H47" s="76" t="inlineStr">
        <is>
          <t>4 / 2 / 1</t>
        </is>
      </c>
      <c r="I47" s="76" t="n">
        <v>32</v>
      </c>
      <c r="J47" s="76" t="n">
        <v>8</v>
      </c>
      <c r="K47" s="76" t="inlineStr">
        <is>
          <t>Fri</t>
        </is>
      </c>
      <c r="L47" s="89" t="n"/>
      <c r="M47" s="90" t="n"/>
      <c r="N47" s="85" t="inlineStr">
        <is>
          <t>https://openstax.org/books/anatomy-and-physiology-2e/pages/28-4-maternal-changes-during-pregnancy-labor-and-birth</t>
        </is>
      </c>
      <c r="O47" s="76" t="inlineStr">
        <is>
          <t>Pending</t>
        </is>
      </c>
    </row>
  </sheetData>
  <mergeCells count="3">
    <mergeCell ref="A3:N3"/>
    <mergeCell ref="A2:N2"/>
    <mergeCell ref="A1:N1"/>
  </mergeCells>
  <dataValidations count="1">
    <dataValidation sqref="N6:N47" showDropDown="0" showInputMessage="0" showErrorMessage="0" allowBlank="1" promptTitle="Production status" prompt="Pending / In production / Filmed / Edited / Live / Needs re-shoot" type="list" errorStyle="stop" operator="between">
      <formula1>"Pending,In production,Filmed,Edited,Live,Needs re-shoot"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8" customWidth="1" style="49" min="1" max="1"/>
    <col width="9" customWidth="1" style="49" min="2" max="2"/>
    <col width="8" customWidth="1" style="49" min="3" max="3"/>
    <col width="54" customWidth="1" style="49" min="4" max="4"/>
    <col width="8" customWidth="1" style="49" min="5" max="5"/>
    <col width="10" customWidth="1" style="49" min="6" max="6"/>
  </cols>
  <sheetData>
    <row r="1" ht="15" customHeight="1" s="50">
      <c r="A1" s="51" t="inlineStr">
        <is>
          <t>BIO 304 . 8-WEEK SUMMER PACING</t>
        </is>
      </c>
    </row>
    <row r="2" ht="30" customHeight="1" s="50">
      <c r="A2" s="52" t="inlineStr">
        <is>
          <t>Pre-Work Schedule (4 Days a Week)</t>
        </is>
      </c>
    </row>
    <row r="3" ht="21.75" customHeight="1" s="50">
      <c r="A3" s="53" t="inlineStr">
        <is>
          <t>Each row is one night of pre-work. ★ marks anchor topics. ★★ marks high-yield standalone days. Pre-work runs Mon, Tue, Thu, Fri; Wednesday is recall + lab.</t>
        </is>
      </c>
    </row>
    <row r="4"/>
    <row r="5" ht="27.75" customHeight="1" s="50">
      <c r="A5" s="61" t="inlineStr">
        <is>
          <t>Week</t>
        </is>
      </c>
      <c r="B5" s="61" t="inlineStr">
        <is>
          <t>Day</t>
        </is>
      </c>
      <c r="C5" s="61" t="inlineStr">
        <is>
          <t>Day #</t>
        </is>
      </c>
      <c r="D5" s="61" t="inlineStr">
        <is>
          <t>Topics scheduled</t>
        </is>
      </c>
      <c r="E5" s="61" t="inlineStr">
        <is>
          <t>Cards</t>
        </is>
      </c>
      <c r="F5" s="61" t="inlineStr">
        <is>
          <t>Anchors</t>
        </is>
      </c>
    </row>
    <row r="6" ht="27.75" customHeight="1" s="50">
      <c r="A6" s="91" t="n">
        <v>1</v>
      </c>
      <c r="B6" s="91" t="inlineStr">
        <is>
          <t>Mon</t>
        </is>
      </c>
      <c r="C6" s="91" t="n">
        <v>1</v>
      </c>
      <c r="D6" s="92" t="inlineStr">
        <is>
          <t>Levels of Organization  +  Anatomical Terminology and Body Regions</t>
        </is>
      </c>
      <c r="E6" s="91" t="n">
        <v>14</v>
      </c>
      <c r="F6" s="91" t="n"/>
    </row>
    <row r="7" ht="27.75" customHeight="1" s="50">
      <c r="A7" s="69" t="n">
        <v>1</v>
      </c>
      <c r="B7" s="69" t="inlineStr">
        <is>
          <t>Tue</t>
        </is>
      </c>
      <c r="C7" s="69" t="n">
        <v>2</v>
      </c>
      <c r="D7" s="86" t="inlineStr">
        <is>
          <t>Homeostasis and Feedback Loops ★</t>
        </is>
      </c>
      <c r="E7" s="69" t="n">
        <v>8</v>
      </c>
      <c r="F7" s="69" t="inlineStr">
        <is>
          <t>★</t>
        </is>
      </c>
    </row>
    <row r="8" ht="27.75" customHeight="1" s="50">
      <c r="A8" s="76" t="n">
        <v>1</v>
      </c>
      <c r="B8" s="76" t="inlineStr">
        <is>
          <t>Thu</t>
        </is>
      </c>
      <c r="C8" s="76" t="n">
        <v>3</v>
      </c>
      <c r="D8" s="95" t="inlineStr">
        <is>
          <t>Cell Structure and Organelles</t>
        </is>
      </c>
      <c r="E8" s="76" t="n">
        <v>7</v>
      </c>
      <c r="F8" s="76" t="n"/>
    </row>
    <row r="9" ht="27.75" customHeight="1" s="50">
      <c r="A9" s="69" t="n">
        <v>1</v>
      </c>
      <c r="B9" s="69" t="inlineStr">
        <is>
          <t>Fri</t>
        </is>
      </c>
      <c r="C9" s="69" t="n">
        <v>4</v>
      </c>
      <c r="D9" s="86" t="inlineStr">
        <is>
          <t>Membrane Transport ★</t>
        </is>
      </c>
      <c r="E9" s="69" t="n">
        <v>8</v>
      </c>
      <c r="F9" s="69" t="inlineStr">
        <is>
          <t>★</t>
        </is>
      </c>
    </row>
    <row r="10" ht="27.75" customHeight="1" s="50">
      <c r="A10" s="91" t="n">
        <v>2</v>
      </c>
      <c r="B10" s="91" t="inlineStr">
        <is>
          <t>Mon</t>
        </is>
      </c>
      <c r="C10" s="91" t="n">
        <v>5</v>
      </c>
      <c r="D10" s="92" t="inlineStr">
        <is>
          <t>Epithelial Tissue Classification</t>
        </is>
      </c>
      <c r="E10" s="91" t="n">
        <v>7</v>
      </c>
      <c r="F10" s="91" t="n"/>
    </row>
    <row r="11" ht="27.75" customHeight="1" s="50">
      <c r="A11" s="69" t="n">
        <v>2</v>
      </c>
      <c r="B11" s="69" t="inlineStr">
        <is>
          <t>Tue</t>
        </is>
      </c>
      <c r="C11" s="69" t="n">
        <v>6</v>
      </c>
      <c r="D11" s="86" t="inlineStr">
        <is>
          <t>Connective Tissues</t>
        </is>
      </c>
      <c r="E11" s="69" t="n">
        <v>7</v>
      </c>
      <c r="F11" s="69" t="n"/>
    </row>
    <row r="12" ht="27.75" customHeight="1" s="50">
      <c r="A12" s="76" t="n">
        <v>2</v>
      </c>
      <c r="B12" s="76" t="inlineStr">
        <is>
          <t>Thu</t>
        </is>
      </c>
      <c r="C12" s="76" t="n">
        <v>7</v>
      </c>
      <c r="D12" s="95" t="inlineStr">
        <is>
          <t>Muscle and Nervous Tissue Overview  +  Skin Structure and Layers</t>
        </is>
      </c>
      <c r="E12" s="76" t="n">
        <v>12</v>
      </c>
      <c r="F12" s="76" t="n"/>
    </row>
    <row r="13" ht="27.75" customHeight="1" s="50">
      <c r="A13" s="69" t="n">
        <v>2</v>
      </c>
      <c r="B13" s="69" t="inlineStr">
        <is>
          <t>Fri</t>
        </is>
      </c>
      <c r="C13" s="69" t="n">
        <v>8</v>
      </c>
      <c r="D13" s="86" t="inlineStr">
        <is>
          <t>Skin Functions and Accessory Structures</t>
        </is>
      </c>
      <c r="E13" s="69" t="n">
        <v>6</v>
      </c>
      <c r="F13" s="69" t="n"/>
    </row>
    <row r="14" ht="27.75" customHeight="1" s="50">
      <c r="A14" s="91" t="n">
        <v>3</v>
      </c>
      <c r="B14" s="91" t="inlineStr">
        <is>
          <t>Mon</t>
        </is>
      </c>
      <c r="C14" s="91" t="n">
        <v>9</v>
      </c>
      <c r="D14" s="92" t="inlineStr">
        <is>
          <t>Bone Tissue and Bone Growth</t>
        </is>
      </c>
      <c r="E14" s="91" t="n">
        <v>7</v>
      </c>
      <c r="F14" s="91" t="n"/>
    </row>
    <row r="15" ht="27.75" customHeight="1" s="50">
      <c r="A15" s="69" t="n">
        <v>3</v>
      </c>
      <c r="B15" s="69" t="inlineStr">
        <is>
          <t>Tue</t>
        </is>
      </c>
      <c r="C15" s="69" t="n">
        <v>10</v>
      </c>
      <c r="D15" s="86" t="inlineStr">
        <is>
          <t>Axial Skeleton</t>
        </is>
      </c>
      <c r="E15" s="69" t="n">
        <v>6</v>
      </c>
      <c r="F15" s="69" t="n"/>
    </row>
    <row r="16" ht="27.75" customHeight="1" s="50">
      <c r="A16" s="76" t="n">
        <v>3</v>
      </c>
      <c r="B16" s="76" t="inlineStr">
        <is>
          <t>Thu</t>
        </is>
      </c>
      <c r="C16" s="76" t="n">
        <v>11</v>
      </c>
      <c r="D16" s="95" t="inlineStr">
        <is>
          <t>Appendicular Skeleton</t>
        </is>
      </c>
      <c r="E16" s="76" t="n">
        <v>6</v>
      </c>
      <c r="F16" s="76" t="n"/>
    </row>
    <row r="17" ht="27.75" customHeight="1" s="50">
      <c r="A17" s="69" t="n">
        <v>3</v>
      </c>
      <c r="B17" s="69" t="inlineStr">
        <is>
          <t>Fri</t>
        </is>
      </c>
      <c r="C17" s="69" t="n">
        <v>12</v>
      </c>
      <c r="D17" s="86" t="inlineStr">
        <is>
          <t>Joints and Body Movements</t>
        </is>
      </c>
      <c r="E17" s="69" t="n">
        <v>6</v>
      </c>
      <c r="F17" s="69" t="n"/>
    </row>
    <row r="18" ht="27.75" customHeight="1" s="50">
      <c r="A18" s="91" t="n">
        <v>4</v>
      </c>
      <c r="B18" s="91" t="inlineStr">
        <is>
          <t>Mon</t>
        </is>
      </c>
      <c r="C18" s="91" t="n">
        <v>13</v>
      </c>
      <c r="D18" s="92" t="inlineStr">
        <is>
          <t>Skeletal Muscle Microanatomy  +  Motor Units and Muscle Mechanics</t>
        </is>
      </c>
      <c r="E18" s="91" t="n">
        <v>12</v>
      </c>
      <c r="F18" s="91" t="n"/>
    </row>
    <row r="19" ht="27.75" customHeight="1" s="50">
      <c r="A19" s="69" t="n">
        <v>4</v>
      </c>
      <c r="B19" s="69" t="inlineStr">
        <is>
          <t>Tue</t>
        </is>
      </c>
      <c r="C19" s="69" t="n">
        <v>14</v>
      </c>
      <c r="D19" s="86" t="inlineStr">
        <is>
          <t>Sliding Filament and the Cross-Bridge Cycle ★★</t>
        </is>
      </c>
      <c r="E19" s="69" t="n">
        <v>10</v>
      </c>
      <c r="F19" s="69" t="inlineStr">
        <is>
          <t>★★</t>
        </is>
      </c>
    </row>
    <row r="20" ht="27.75" customHeight="1" s="50">
      <c r="A20" s="76" t="n">
        <v>4</v>
      </c>
      <c r="B20" s="76" t="inlineStr">
        <is>
          <t>Thu</t>
        </is>
      </c>
      <c r="C20" s="76" t="n">
        <v>15</v>
      </c>
      <c r="D20" s="95" t="inlineStr">
        <is>
          <t>Neurons and Resting Membrane Potential</t>
        </is>
      </c>
      <c r="E20" s="76" t="n">
        <v>6</v>
      </c>
      <c r="F20" s="76" t="n"/>
    </row>
    <row r="21" ht="27.75" customHeight="1" s="50">
      <c r="A21" s="69" t="n">
        <v>4</v>
      </c>
      <c r="B21" s="69" t="inlineStr">
        <is>
          <t>Fri</t>
        </is>
      </c>
      <c r="C21" s="69" t="n">
        <v>16</v>
      </c>
      <c r="D21" s="86" t="inlineStr">
        <is>
          <t>Action Potentials and Synaptic Transmission ★★</t>
        </is>
      </c>
      <c r="E21" s="69" t="n">
        <v>12</v>
      </c>
      <c r="F21" s="69" t="inlineStr">
        <is>
          <t>★★</t>
        </is>
      </c>
    </row>
    <row r="22" ht="27.75" customHeight="1" s="50">
      <c r="A22" s="91" t="n">
        <v>5</v>
      </c>
      <c r="B22" s="91" t="inlineStr">
        <is>
          <t>Mon</t>
        </is>
      </c>
      <c r="C22" s="91" t="n">
        <v>17</v>
      </c>
      <c r="D22" s="92" t="inlineStr">
        <is>
          <t>CNS Organization: Brain and Spinal Cord</t>
        </is>
      </c>
      <c r="E22" s="91" t="n">
        <v>6</v>
      </c>
      <c r="F22" s="91" t="n"/>
    </row>
    <row r="23" ht="27.75" customHeight="1" s="50">
      <c r="A23" s="69" t="n">
        <v>5</v>
      </c>
      <c r="B23" s="69" t="inlineStr">
        <is>
          <t>Tue</t>
        </is>
      </c>
      <c r="C23" s="69" t="n">
        <v>18</v>
      </c>
      <c r="D23" s="86" t="inlineStr">
        <is>
          <t>PNS and Autonomic Nervous System</t>
        </is>
      </c>
      <c r="E23" s="69" t="n">
        <v>6</v>
      </c>
      <c r="F23" s="69" t="n"/>
    </row>
    <row r="24" ht="27.75" customHeight="1" s="50">
      <c r="A24" s="76" t="n">
        <v>5</v>
      </c>
      <c r="B24" s="76" t="inlineStr">
        <is>
          <t>Thu</t>
        </is>
      </c>
      <c r="C24" s="76" t="n">
        <v>19</v>
      </c>
      <c r="D24" s="95" t="inlineStr">
        <is>
          <t>Vision  +  Hearing and Equilibrium</t>
        </is>
      </c>
      <c r="E24" s="76" t="n">
        <v>11</v>
      </c>
      <c r="F24" s="76" t="n"/>
    </row>
    <row r="25" ht="27.75" customHeight="1" s="50">
      <c r="A25" s="69" t="n">
        <v>5</v>
      </c>
      <c r="B25" s="69" t="inlineStr">
        <is>
          <t>Fri</t>
        </is>
      </c>
      <c r="C25" s="69" t="n">
        <v>20</v>
      </c>
      <c r="D25" s="86" t="inlineStr">
        <is>
          <t>Hormone Mechanisms  +  Major Endocrine Glands</t>
        </is>
      </c>
      <c r="E25" s="69" t="n">
        <v>11</v>
      </c>
      <c r="F25" s="69" t="n"/>
    </row>
    <row r="26" ht="27.75" customHeight="1" s="50">
      <c r="A26" s="91" t="n">
        <v>6</v>
      </c>
      <c r="B26" s="91" t="inlineStr">
        <is>
          <t>Mon</t>
        </is>
      </c>
      <c r="C26" s="91" t="n">
        <v>21</v>
      </c>
      <c r="D26" s="92" t="inlineStr">
        <is>
          <t>Blood Composition and Hemopoiesis  +  Hemostasis and Blood Typing</t>
        </is>
      </c>
      <c r="E26" s="91" t="n">
        <v>12</v>
      </c>
      <c r="F26" s="91" t="n"/>
    </row>
    <row r="27" ht="27.75" customHeight="1" s="50">
      <c r="A27" s="69" t="n">
        <v>6</v>
      </c>
      <c r="B27" s="69" t="inlineStr">
        <is>
          <t>Tue</t>
        </is>
      </c>
      <c r="C27" s="69" t="n">
        <v>22</v>
      </c>
      <c r="D27" s="86" t="inlineStr">
        <is>
          <t>Heart Anatomy and the Cardiac Cycle ★★</t>
        </is>
      </c>
      <c r="E27" s="69" t="n">
        <v>12</v>
      </c>
      <c r="F27" s="69" t="inlineStr">
        <is>
          <t>★★</t>
        </is>
      </c>
    </row>
    <row r="28" ht="27.75" customHeight="1" s="50">
      <c r="A28" s="76" t="n">
        <v>6</v>
      </c>
      <c r="B28" s="76" t="inlineStr">
        <is>
          <t>Thu</t>
        </is>
      </c>
      <c r="C28" s="76" t="n">
        <v>23</v>
      </c>
      <c r="D28" s="95" t="inlineStr">
        <is>
          <t>Cardiac Conduction System</t>
        </is>
      </c>
      <c r="E28" s="76" t="n">
        <v>8</v>
      </c>
      <c r="F28" s="76" t="n"/>
    </row>
    <row r="29" ht="27.75" customHeight="1" s="50">
      <c r="A29" s="69" t="n">
        <v>6</v>
      </c>
      <c r="B29" s="69" t="inlineStr">
        <is>
          <t>Fri</t>
        </is>
      </c>
      <c r="C29" s="69" t="n">
        <v>24</v>
      </c>
      <c r="D29" s="86" t="inlineStr">
        <is>
          <t>Blood Vessels and Hemodynamics</t>
        </is>
      </c>
      <c r="E29" s="69" t="n">
        <v>5</v>
      </c>
      <c r="F29" s="69" t="n"/>
    </row>
    <row r="30" ht="27.75" customHeight="1" s="50">
      <c r="A30" s="91" t="n">
        <v>7</v>
      </c>
      <c r="B30" s="91" t="inlineStr">
        <is>
          <t>Mon</t>
        </is>
      </c>
      <c r="C30" s="91" t="n">
        <v>25</v>
      </c>
      <c r="D30" s="92" t="inlineStr">
        <is>
          <t>Lymphatic System and Innate Immunity</t>
        </is>
      </c>
      <c r="E30" s="91" t="n">
        <v>5</v>
      </c>
      <c r="F30" s="91" t="n"/>
    </row>
    <row r="31" ht="27.75" customHeight="1" s="50">
      <c r="A31" s="69" t="n">
        <v>7</v>
      </c>
      <c r="B31" s="69" t="inlineStr">
        <is>
          <t>Tue</t>
        </is>
      </c>
      <c r="C31" s="69" t="n">
        <v>26</v>
      </c>
      <c r="D31" s="86" t="inlineStr">
        <is>
          <t>Adaptive Immunity ★★</t>
        </is>
      </c>
      <c r="E31" s="69" t="n">
        <v>12</v>
      </c>
      <c r="F31" s="69" t="inlineStr">
        <is>
          <t>★★</t>
        </is>
      </c>
    </row>
    <row r="32" ht="27.75" customHeight="1" s="50">
      <c r="A32" s="76" t="n">
        <v>7</v>
      </c>
      <c r="B32" s="76" t="inlineStr">
        <is>
          <t>Thu</t>
        </is>
      </c>
      <c r="C32" s="76" t="n">
        <v>27</v>
      </c>
      <c r="D32" s="95" t="inlineStr">
        <is>
          <t>Respiratory Anatomy and Mechanics  +  Gas Exchange and Transport ★★</t>
        </is>
      </c>
      <c r="E32" s="76" t="n">
        <v>18</v>
      </c>
      <c r="F32" s="76" t="inlineStr">
        <is>
          <t>★★</t>
        </is>
      </c>
    </row>
    <row r="33" ht="27.75" customHeight="1" s="50">
      <c r="A33" s="69" t="n">
        <v>7</v>
      </c>
      <c r="B33" s="69" t="inlineStr">
        <is>
          <t>Fri</t>
        </is>
      </c>
      <c r="C33" s="69" t="n">
        <v>28</v>
      </c>
      <c r="D33" s="86" t="inlineStr">
        <is>
          <t>GI Tract Anatomy and Motility  +  Digestion and Absorption</t>
        </is>
      </c>
      <c r="E33" s="69" t="n">
        <v>12</v>
      </c>
      <c r="F33" s="69" t="n"/>
    </row>
    <row r="34" ht="27.75" customHeight="1" s="50">
      <c r="A34" s="91" t="n">
        <v>8</v>
      </c>
      <c r="B34" s="91" t="inlineStr">
        <is>
          <t>Mon</t>
        </is>
      </c>
      <c r="C34" s="91" t="n">
        <v>29</v>
      </c>
      <c r="D34" s="92" t="inlineStr">
        <is>
          <t>Kidney Anatomy and Glomerular Filtration</t>
        </is>
      </c>
      <c r="E34" s="91" t="n">
        <v>6</v>
      </c>
      <c r="F34" s="91" t="n"/>
    </row>
    <row r="35" ht="27.75" customHeight="1" s="50">
      <c r="A35" s="69" t="n">
        <v>8</v>
      </c>
      <c r="B35" s="69" t="inlineStr">
        <is>
          <t>Tue</t>
        </is>
      </c>
      <c r="C35" s="69" t="n">
        <v>30</v>
      </c>
      <c r="D35" s="86" t="inlineStr">
        <is>
          <t>Tubular Function and Urine Concentration ★★</t>
        </is>
      </c>
      <c r="E35" s="69" t="n">
        <v>12</v>
      </c>
      <c r="F35" s="69" t="inlineStr">
        <is>
          <t>★★</t>
        </is>
      </c>
    </row>
    <row r="36" ht="27.75" customHeight="1" s="50">
      <c r="A36" s="76" t="n">
        <v>8</v>
      </c>
      <c r="B36" s="76" t="inlineStr">
        <is>
          <t>Thu</t>
        </is>
      </c>
      <c r="C36" s="76" t="n">
        <v>31</v>
      </c>
      <c r="D36" s="95" t="inlineStr">
        <is>
          <t>Fluid, Electrolyte, and Acid-Base Balance  +  Male Reproductive System</t>
        </is>
      </c>
      <c r="E36" s="76" t="n">
        <v>12</v>
      </c>
      <c r="F36" s="76" t="n"/>
    </row>
    <row r="37" ht="27.75" customHeight="1" s="50">
      <c r="A37" s="69" t="n">
        <v>8</v>
      </c>
      <c r="B37" s="69" t="inlineStr">
        <is>
          <t>Fri</t>
        </is>
      </c>
      <c r="C37" s="69" t="n">
        <v>32</v>
      </c>
      <c r="D37" s="86" t="inlineStr">
        <is>
          <t>Female Reproductive System  +  Pregnancy A&amp;P (Basics)</t>
        </is>
      </c>
      <c r="E37" s="69" t="n">
        <v>13</v>
      </c>
      <c r="F37" s="69" t="n"/>
    </row>
  </sheetData>
  <mergeCells count="3">
    <mergeCell ref="A3:F3"/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2026-05-17T20:04:54Z</dcterms:created>
  <dcterms:modified xmlns:dcterms="http://purl.org/dc/terms/" xmlns:xsi="http://www.w3.org/2001/XMLSchema-instance" xsi:type="dcterms:W3CDTF">2026-05-18T15:00:26Z</dcterms:modified>
  <cp:revision>0</cp:revision>
</cp:coreProperties>
</file>