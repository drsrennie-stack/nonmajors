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se Overview" sheetId="1" state="visible" r:id="rId3"/>
    <sheet name="Video Track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<sst xmlns="http://schemas.openxmlformats.org/spreadsheetml/2006/main" count="431" uniqueCount="253">
  <si>
    <t xml:space="preserve">BIO 304 . HUMAN ANATOMY &amp; PHYSIOLOGY . MEDMASTERS COLLABORATIVE</t>
  </si>
  <si>
    <t xml:space="preserve">Course Overview</t>
  </si>
  <si>
    <t xml:space="preserve">Live counts pull from the Video Tracker tab. Update URLs there and these stats refresh automatically.</t>
  </si>
  <si>
    <t xml:space="preserve">TOTAL TOPICS</t>
  </si>
  <si>
    <t xml:space="preserve">VIDEOS WITH URL</t>
  </si>
  <si>
    <t xml:space="preserve">PERCENT COMPLETE</t>
  </si>
  <si>
    <t xml:space="preserve">TOTAL CARDS</t>
  </si>
  <si>
    <t xml:space="preserve">MODULES</t>
  </si>
  <si>
    <t xml:space="preserve">Per-module progress</t>
  </si>
  <si>
    <t xml:space="preserve">Module #</t>
  </si>
  <si>
    <t xml:space="preserve">Week</t>
  </si>
  <si>
    <t xml:space="preserve">Module Title</t>
  </si>
  <si>
    <t xml:space="preserve">Topics</t>
  </si>
  <si>
    <t xml:space="preserve">Videos Done</t>
  </si>
  <si>
    <t xml:space="preserve">Progress</t>
  </si>
  <si>
    <t xml:space="preserve">Week 1</t>
  </si>
  <si>
    <t xml:space="preserve">Foundations of Anatomy and Physiology</t>
  </si>
  <si>
    <t xml:space="preserve">Week 2</t>
  </si>
  <si>
    <t xml:space="preserve">Chemistry of Life</t>
  </si>
  <si>
    <t xml:space="preserve">Week 3</t>
  </si>
  <si>
    <t xml:space="preserve">The Cell</t>
  </si>
  <si>
    <t xml:space="preserve">Week 4</t>
  </si>
  <si>
    <t xml:space="preserve">Tissues</t>
  </si>
  <si>
    <t xml:space="preserve">Week 5</t>
  </si>
  <si>
    <t xml:space="preserve">Integumentary System</t>
  </si>
  <si>
    <t xml:space="preserve">Week 6</t>
  </si>
  <si>
    <t xml:space="preserve">Skeletal System</t>
  </si>
  <si>
    <t xml:space="preserve">Week 8</t>
  </si>
  <si>
    <t xml:space="preserve">Muscular System</t>
  </si>
  <si>
    <t xml:space="preserve">Week 10</t>
  </si>
  <si>
    <t xml:space="preserve">Nervous System</t>
  </si>
  <si>
    <t xml:space="preserve">Week 12</t>
  </si>
  <si>
    <t xml:space="preserve">Special Senses</t>
  </si>
  <si>
    <t xml:space="preserve">Week 13</t>
  </si>
  <si>
    <t xml:space="preserve">Endocrine System</t>
  </si>
  <si>
    <t xml:space="preserve">Week 14</t>
  </si>
  <si>
    <t xml:space="preserve">Blood</t>
  </si>
  <si>
    <t xml:space="preserve">Week 15</t>
  </si>
  <si>
    <t xml:space="preserve">Cardiovascular System</t>
  </si>
  <si>
    <t xml:space="preserve">Week 16</t>
  </si>
  <si>
    <t xml:space="preserve">Lymphatic and Immune System</t>
  </si>
  <si>
    <t xml:space="preserve">Week 17</t>
  </si>
  <si>
    <t xml:space="preserve">Respiratory System</t>
  </si>
  <si>
    <t xml:space="preserve">Week 18</t>
  </si>
  <si>
    <t xml:space="preserve">Digestive System</t>
  </si>
  <si>
    <t xml:space="preserve">Week 19</t>
  </si>
  <si>
    <t xml:space="preserve">Urinary System and Fluid Balance</t>
  </si>
  <si>
    <t xml:space="preserve">Week 20</t>
  </si>
  <si>
    <t xml:space="preserve">Reproductive System and Development</t>
  </si>
  <si>
    <t xml:space="preserve">Video Production Tracker</t>
  </si>
  <si>
    <t xml:space="preserve">Drop your final video URL into column J as each video is finished. Update column K to track production. Save the file and send it back to plug videos into the pre-work hub.</t>
  </si>
  <si>
    <t xml:space="preserve">Topic ID (do not edit)</t>
  </si>
  <si>
    <t xml:space="preserve">Topic Title</t>
  </si>
  <si>
    <t xml:space="preserve">Summary</t>
  </si>
  <si>
    <t xml:space="preserve">Gate Keywords</t>
  </si>
  <si>
    <t xml:space="preserve">Cards</t>
  </si>
  <si>
    <t xml:space="preserve">DOK 1 / 2 / 3</t>
  </si>
  <si>
    <t xml:space="preserve">Module</t>
  </si>
  <si>
    <t xml:space="preserve">Video URL (paste here)</t>
  </si>
  <si>
    <t xml:space="preserve">Status</t>
  </si>
  <si>
    <t xml:space="preserve">t-levels-of-organization</t>
  </si>
  <si>
    <t xml:space="preserve">Levels of Organization</t>
  </si>
  <si>
    <t xml:space="preserve">From atoms to organism: how complexity scales and where new function emerges.</t>
  </si>
  <si>
    <t xml:space="preserve">atom, cell, tissue, organ, organ system, organism</t>
  </si>
  <si>
    <t xml:space="preserve">4 / 2 / 1</t>
  </si>
  <si>
    <t xml:space="preserve">Pending</t>
  </si>
  <si>
    <t xml:space="preserve">t-anatomical-terminology</t>
  </si>
  <si>
    <t xml:space="preserve">Anatomical Terminology and Body Regions</t>
  </si>
  <si>
    <t xml:space="preserve">Anatomical position, directional terms, body planes, cavities, and the four abdominal quadrants.</t>
  </si>
  <si>
    <t xml:space="preserve">anatomical position, sagittal, transverse, superior, anterior, abdominopelvic</t>
  </si>
  <si>
    <t xml:space="preserve">t-homeostasis</t>
  </si>
  <si>
    <t xml:space="preserve">Homeostasis and Feedback Loops</t>
  </si>
  <si>
    <t xml:space="preserve">Set points, the four-part negative feedback loop, and why positive feedback is the rare exception.</t>
  </si>
  <si>
    <t xml:space="preserve">homeostasis, feedback, set point, receptor, effector</t>
  </si>
  <si>
    <t xml:space="preserve">4 / 2 / 2</t>
  </si>
  <si>
    <t xml:space="preserve">t-atoms-bonds-water</t>
  </si>
  <si>
    <t xml:space="preserve">Atoms, Bonds, and Water</t>
  </si>
  <si>
    <t xml:space="preserve">Subatomic particles, ionic vs covalent vs hydrogen bonds, and why water is the medium of life.</t>
  </si>
  <si>
    <t xml:space="preserve">atom, electron, covalent bond, ionic bond, hydrogen bond, polar</t>
  </si>
  <si>
    <t xml:space="preserve">t-macromolecules</t>
  </si>
  <si>
    <t xml:space="preserve">Biological Macromolecules</t>
  </si>
  <si>
    <t xml:space="preserve">The four major polymer classes: carbohydrates, lipids, proteins, and nucleic acids.</t>
  </si>
  <si>
    <t xml:space="preserve">carbohydrate, lipid, protein, nucleic acid, monomer, polymer</t>
  </si>
  <si>
    <t xml:space="preserve">t-enzymes-energy</t>
  </si>
  <si>
    <t xml:space="preserve">Enzymes and ATP</t>
  </si>
  <si>
    <t xml:space="preserve">How enzymes lower activation energy, what regulates them, and the role of ATP as the cell's energy currency.</t>
  </si>
  <si>
    <t xml:space="preserve">enzyme, active site, substrate, activation energy, ATP, ADP</t>
  </si>
  <si>
    <t xml:space="preserve">t-cell-structure</t>
  </si>
  <si>
    <t xml:space="preserve">Cell Structure and Organelles</t>
  </si>
  <si>
    <t xml:space="preserve">Plasma membrane, nucleus, and the major cytoplasmic organelles that do the work of the cell.</t>
  </si>
  <si>
    <t xml:space="preserve">nucleus, mitochondria, endoplasmic reticulum, Golgi, ribosome, plasma membrane</t>
  </si>
  <si>
    <t xml:space="preserve">t-membrane-transport</t>
  </si>
  <si>
    <t xml:space="preserve">Membrane Transport</t>
  </si>
  <si>
    <t xml:space="preserve">Passive vs active, simple vs facilitated, primary vs secondary, plus bulk transport.</t>
  </si>
  <si>
    <t xml:space="preserve">diffusion, osmosis, active transport, gradient, channel, carrier</t>
  </si>
  <si>
    <t xml:space="preserve">t-cell-cycle-protein-synthesis</t>
  </si>
  <si>
    <t xml:space="preserve">Cell Cycle and Protein Synthesis</t>
  </si>
  <si>
    <t xml:space="preserve">Interphase and mitosis at a glance, then the DNA → RNA → protein pipeline.</t>
  </si>
  <si>
    <t xml:space="preserve">mitosis, interphase, transcription, translation, mRNA, ribosome</t>
  </si>
  <si>
    <t xml:space="preserve">t-epithelial-tissue</t>
  </si>
  <si>
    <t xml:space="preserve">Epithelial Tissue Classification</t>
  </si>
  <si>
    <t xml:space="preserve">Naming epithelia by layer and cell shape; where each type lives and what it does.</t>
  </si>
  <si>
    <t xml:space="preserve">epithelium, simple, stratified, squamous, cuboidal, columnar</t>
  </si>
  <si>
    <t xml:space="preserve">t-connective-tissue</t>
  </si>
  <si>
    <t xml:space="preserve">Connective Tissues</t>
  </si>
  <si>
    <t xml:space="preserve">Cells embedded in a matrix: loose, dense, cartilage, bone, blood.</t>
  </si>
  <si>
    <t xml:space="preserve">connective tissue, matrix, fibroblast, collagen, cartilage, bone</t>
  </si>
  <si>
    <t xml:space="preserve">t-muscle-nervous-tissue</t>
  </si>
  <si>
    <t xml:space="preserve">Muscle and Nervous Tissue Overview</t>
  </si>
  <si>
    <t xml:space="preserve">Three muscle types compared, plus neurons and glia at a tissue level.</t>
  </si>
  <si>
    <t xml:space="preserve">skeletal muscle, smooth muscle, cardiac muscle, neuron, glia</t>
  </si>
  <si>
    <t xml:space="preserve">4 / 1 / 1</t>
  </si>
  <si>
    <t xml:space="preserve">t-skin-layers</t>
  </si>
  <si>
    <t xml:space="preserve">Skin Structure and Layers</t>
  </si>
  <si>
    <t xml:space="preserve">Epidermis, dermis, hypodermis: who lives where and what they do.</t>
  </si>
  <si>
    <t xml:space="preserve">epidermis, dermis, hypodermis, keratin, melanin, stratum</t>
  </si>
  <si>
    <t xml:space="preserve">t-skin-functions</t>
  </si>
  <si>
    <t xml:space="preserve">Skin Functions and Accessory Structures</t>
  </si>
  <si>
    <t xml:space="preserve">Protection, thermoregulation, sensation, vitamin D; plus hair, glands, and nails.</t>
  </si>
  <si>
    <t xml:space="preserve">thermoregulation, sebaceous, sweat gland, vitamin D, hair follicle</t>
  </si>
  <si>
    <t xml:space="preserve">t-bone-tissue</t>
  </si>
  <si>
    <t xml:space="preserve">Bone Tissue and Bone Growth</t>
  </si>
  <si>
    <t xml:space="preserve">Cells of bone, compact vs spongy, intramembranous vs endochondral ossification, and lifelong remodeling.</t>
  </si>
  <si>
    <t xml:space="preserve">osteoblast, osteoclast, osteocyte, compact bone, spongy bone, ossification</t>
  </si>
  <si>
    <t xml:space="preserve">t-axial-skeleton</t>
  </si>
  <si>
    <t xml:space="preserve">Axial Skeleton</t>
  </si>
  <si>
    <t xml:space="preserve">Skull, vertebral column, and thoracic cage: the central axis of the body.</t>
  </si>
  <si>
    <t xml:space="preserve">skull, vertebra, cervical, thoracic, lumbar, sternum</t>
  </si>
  <si>
    <t xml:space="preserve">t-appendicular-skeleton</t>
  </si>
  <si>
    <t xml:space="preserve">Appendicular Skeleton</t>
  </si>
  <si>
    <t xml:space="preserve">Pectoral girdle and upper limb, pelvic girdle and lower limb.</t>
  </si>
  <si>
    <t xml:space="preserve">clavicle, scapula, humerus, femur, pelvis, tibia</t>
  </si>
  <si>
    <t xml:space="preserve">t-joints-movements</t>
  </si>
  <si>
    <t xml:space="preserve">Joints and Body Movements</t>
  </si>
  <si>
    <t xml:space="preserve">Classifying joints by structure and function, plus the vocabulary of movement.</t>
  </si>
  <si>
    <t xml:space="preserve">synovial, hinge, ball-and-socket, flexion, extension, abduction</t>
  </si>
  <si>
    <t xml:space="preserve">t-skeletal-muscle-microanatomy</t>
  </si>
  <si>
    <t xml:space="preserve">Skeletal Muscle Microanatomy</t>
  </si>
  <si>
    <t xml:space="preserve">From whole muscle down to the sarcomere: the structural ladder of contractile tissue.</t>
  </si>
  <si>
    <t xml:space="preserve">sarcomere, myofibril, actin, myosin, sarcoplasmic reticulum</t>
  </si>
  <si>
    <t xml:space="preserve">t-sliding-filament</t>
  </si>
  <si>
    <t xml:space="preserve">Sliding Filament and the Cross-Bridge Cycle</t>
  </si>
  <si>
    <t xml:space="preserve">How calcium, ATP, actin, and myosin convert chemical energy into mechanical force.</t>
  </si>
  <si>
    <t xml:space="preserve">sliding filament, cross-bridge, calcium, troponin, tropomyosin, ATP</t>
  </si>
  <si>
    <t xml:space="preserve">5 / 3 / 2</t>
  </si>
  <si>
    <t xml:space="preserve">t-motor-units</t>
  </si>
  <si>
    <t xml:space="preserve">Motor Units and Muscle Mechanics</t>
  </si>
  <si>
    <t xml:space="preserve">Motor unit organization, recruitment, summation, and fatigue.</t>
  </si>
  <si>
    <t xml:space="preserve">motor unit, recruitment, twitch, summation, tetanus</t>
  </si>
  <si>
    <t xml:space="preserve">t-neurons-rmp</t>
  </si>
  <si>
    <t xml:space="preserve">Neurons and Resting Membrane Potential</t>
  </si>
  <si>
    <t xml:space="preserve">Neuron anatomy and how the resting potential is built and maintained.</t>
  </si>
  <si>
    <t xml:space="preserve">neuron, axon, dendrite, resting potential, sodium-potassium pump</t>
  </si>
  <si>
    <t xml:space="preserve">t-action-potentials</t>
  </si>
  <si>
    <t xml:space="preserve">Action Potentials and Synaptic Transmission</t>
  </si>
  <si>
    <t xml:space="preserve">Phases of an action potential, propagation, and how chemical synapses pass the signal on.</t>
  </si>
  <si>
    <t xml:space="preserve">depolarization, repolarization, threshold, neurotransmitter, synapse</t>
  </si>
  <si>
    <t xml:space="preserve">5 / 3 / 4</t>
  </si>
  <si>
    <t xml:space="preserve">t-cns-organization</t>
  </si>
  <si>
    <t xml:space="preserve">CNS Organization: Brain and Spinal Cord</t>
  </si>
  <si>
    <t xml:space="preserve">Brain regions and lobes, meninges, ventricles, and spinal cord anatomy.</t>
  </si>
  <si>
    <t xml:space="preserve">cerebrum, cerebellum, brainstem, spinal cord, meninges</t>
  </si>
  <si>
    <t xml:space="preserve">t-pns-autonomic</t>
  </si>
  <si>
    <t xml:space="preserve">PNS and Autonomic Nervous System</t>
  </si>
  <si>
    <t xml:space="preserve">Cranial and spinal nerves, reflex arcs, and the sympathetic vs parasympathetic divisions.</t>
  </si>
  <si>
    <t xml:space="preserve">sympathetic, parasympathetic, cranial nerves, reflex, ganglion</t>
  </si>
  <si>
    <t xml:space="preserve">t-vision</t>
  </si>
  <si>
    <t xml:space="preserve">Vision</t>
  </si>
  <si>
    <t xml:space="preserve">Eye anatomy, accommodation, and photoreceptor function.</t>
  </si>
  <si>
    <t xml:space="preserve">retina, rod, cone, lens, photoreceptor</t>
  </si>
  <si>
    <t xml:space="preserve">3 / 2 / 1</t>
  </si>
  <si>
    <t xml:space="preserve">t-hearing-equilibrium</t>
  </si>
  <si>
    <t xml:space="preserve">Hearing and Equilibrium</t>
  </si>
  <si>
    <t xml:space="preserve">Cochlear transduction of sound and vestibular detection of head motion.</t>
  </si>
  <si>
    <t xml:space="preserve">cochlea, hair cell, vestibule, semicircular canal, organ of Corti</t>
  </si>
  <si>
    <t xml:space="preserve">3 / 1 / 1</t>
  </si>
  <si>
    <t xml:space="preserve">t-hormone-mechanisms</t>
  </si>
  <si>
    <t xml:space="preserve">Hormone Mechanisms</t>
  </si>
  <si>
    <t xml:space="preserve">Steroid vs peptide vs amino-acid-derived hormones, and how each transduces a signal.</t>
  </si>
  <si>
    <t xml:space="preserve">hormone, receptor, second messenger, steroid, peptide</t>
  </si>
  <si>
    <t xml:space="preserve">t-major-glands</t>
  </si>
  <si>
    <t xml:space="preserve">Major Endocrine Glands</t>
  </si>
  <si>
    <t xml:space="preserve">Pituitary, thyroid, parathyroid, adrenal, pancreas, gonads: who makes what and what it does.</t>
  </si>
  <si>
    <t xml:space="preserve">pituitary, thyroid, adrenal, pancreas, insulin</t>
  </si>
  <si>
    <t xml:space="preserve">t-blood-composition</t>
  </si>
  <si>
    <t xml:space="preserve">Blood Composition and Hemopoiesis</t>
  </si>
  <si>
    <t xml:space="preserve">Plasma, formed elements, and how blood cells are made in red marrow.</t>
  </si>
  <si>
    <t xml:space="preserve">plasma, erythrocyte, hemoglobin, leukocyte, platelet</t>
  </si>
  <si>
    <t xml:space="preserve">t-hemostasis-blood-typing</t>
  </si>
  <si>
    <t xml:space="preserve">Hemostasis and Blood Typing</t>
  </si>
  <si>
    <t xml:space="preserve">Stopping bleeding in three steps, and the basics of ABO and Rh.</t>
  </si>
  <si>
    <t xml:space="preserve">hemostasis, platelet plug, fibrin, ABO, Rh</t>
  </si>
  <si>
    <t xml:space="preserve">t-heart-cardiac-cycle</t>
  </si>
  <si>
    <t xml:space="preserve">Heart Anatomy and the Cardiac Cycle</t>
  </si>
  <si>
    <t xml:space="preserve">Chambers, valves, great vessels, and the pressure-volume story of one heartbeat.</t>
  </si>
  <si>
    <t xml:space="preserve">atrium, ventricle, valve, systole, diastole</t>
  </si>
  <si>
    <t xml:space="preserve">t-conduction-ecg</t>
  </si>
  <si>
    <t xml:space="preserve">Cardiac Conduction System and ECG</t>
  </si>
  <si>
    <t xml:space="preserve">How the heart paces itself, and the wave pattern that records it.</t>
  </si>
  <si>
    <t xml:space="preserve">SA node, AV node, Purkinje, P wave, QRS</t>
  </si>
  <si>
    <t xml:space="preserve">t-vessels-hemodynamics</t>
  </si>
  <si>
    <t xml:space="preserve">Blood Vessels and Hemodynamics</t>
  </si>
  <si>
    <t xml:space="preserve">Vessel types, blood pressure determinants, and how flow is regulated.</t>
  </si>
  <si>
    <t xml:space="preserve">artery, vein, capillary, blood pressure, resistance</t>
  </si>
  <si>
    <t xml:space="preserve">t-lymphatic-innate</t>
  </si>
  <si>
    <t xml:space="preserve">Lymphatic System and Innate Immunity</t>
  </si>
  <si>
    <t xml:space="preserve">Lymph vessels, lymphoid organs, and the body's general (non-specific) defenses.</t>
  </si>
  <si>
    <t xml:space="preserve">lymph, lymphocyte, innate, phagocyte, inflammation</t>
  </si>
  <si>
    <t xml:space="preserve">t-adaptive-immunity</t>
  </si>
  <si>
    <t xml:space="preserve">Adaptive Immunity</t>
  </si>
  <si>
    <t xml:space="preserve">Specificity and memory: how B and T cells learn what to attack and remember it.</t>
  </si>
  <si>
    <t xml:space="preserve">B cell, T cell, antibody, antigen, MHC</t>
  </si>
  <si>
    <t xml:space="preserve">t-resp-anatomy-mechanics</t>
  </si>
  <si>
    <t xml:space="preserve">Respiratory Anatomy and Mechanics</t>
  </si>
  <si>
    <t xml:space="preserve">Conducting vs respiratory zones, and how pressure changes move air in and out.</t>
  </si>
  <si>
    <t xml:space="preserve">trachea, alveolus, diaphragm, pleura, Boyle</t>
  </si>
  <si>
    <t xml:space="preserve">t-gas-exchange-transport</t>
  </si>
  <si>
    <t xml:space="preserve">Gas Exchange and Transport</t>
  </si>
  <si>
    <t xml:space="preserve">Diffusion at the alveoli and tissues, and how O₂ and CO₂ ride in the blood.</t>
  </si>
  <si>
    <t xml:space="preserve">alveolus, oxygen, carbon dioxide, hemoglobin, partial pressure</t>
  </si>
  <si>
    <t xml:space="preserve">4 / 4 / 4</t>
  </si>
  <si>
    <t xml:space="preserve">t-gi-anatomy-motility</t>
  </si>
  <si>
    <t xml:space="preserve">GI Tract Anatomy and Motility</t>
  </si>
  <si>
    <t xml:space="preserve">From mouth to anus, the layers of the gut wall, and how food moves.</t>
  </si>
  <si>
    <t xml:space="preserve">esophagus, stomach, small intestine, peristalsis, sphincter</t>
  </si>
  <si>
    <t xml:space="preserve">t-digestion-absorption</t>
  </si>
  <si>
    <t xml:space="preserve">Digestion and Absorption</t>
  </si>
  <si>
    <t xml:space="preserve">Where each macromolecule gets broken down and how absorption happens.</t>
  </si>
  <si>
    <t xml:space="preserve">enzyme, villi, bile, pancreas, absorption</t>
  </si>
  <si>
    <t xml:space="preserve">t-kidney-filtration</t>
  </si>
  <si>
    <t xml:space="preserve">Kidney Anatomy and Glomerular Filtration</t>
  </si>
  <si>
    <t xml:space="preserve">From renal cortex to nephron to filtration barrier: how urine starts.</t>
  </si>
  <si>
    <t xml:space="preserve">nephron, glomerulus, Bowman, filtration, GFR</t>
  </si>
  <si>
    <t xml:space="preserve">t-tubular-function</t>
  </si>
  <si>
    <t xml:space="preserve">Tubular Function and Urine Concentration</t>
  </si>
  <si>
    <t xml:space="preserve">How the tubules reshape the filtrate into a final urine, and how ADH and aldosterone fine-tune it.</t>
  </si>
  <si>
    <t xml:space="preserve">PCT, loop of Henle, DCT, collecting duct, ADH</t>
  </si>
  <si>
    <t xml:space="preserve">t-fluid-acid-base</t>
  </si>
  <si>
    <t xml:space="preserve">Fluid, Electrolyte, and Acid-Base Balance</t>
  </si>
  <si>
    <t xml:space="preserve">Body fluid compartments, the main electrolytes, and how the body keeps pH near 7.4.</t>
  </si>
  <si>
    <t xml:space="preserve">ICF, ECF, sodium, potassium, pH</t>
  </si>
  <si>
    <t xml:space="preserve">t-male-reproductive</t>
  </si>
  <si>
    <t xml:space="preserve">Male Reproductive System</t>
  </si>
  <si>
    <t xml:space="preserve">Testis structure, spermatogenesis, accessory glands, and the hormonal axis.</t>
  </si>
  <si>
    <t xml:space="preserve">testis, sperm, seminiferous, spermatogenesis, testosterone</t>
  </si>
  <si>
    <t xml:space="preserve">t-female-reproductive</t>
  </si>
  <si>
    <t xml:space="preserve">Female Reproductive System</t>
  </si>
  <si>
    <t xml:space="preserve">Ovary, oogenesis, the ovarian and uterine cycles, and the hormonal choreography.</t>
  </si>
  <si>
    <t xml:space="preserve">ovary, ovulation, uterus, estrogen, progesterone</t>
  </si>
  <si>
    <t xml:space="preserve">t-pregnancy-development</t>
  </si>
  <si>
    <t xml:space="preserve">Pregnancy and Development</t>
  </si>
  <si>
    <t xml:space="preserve">Fertilization through the trimesters, plus the role of the placenta.</t>
  </si>
  <si>
    <t xml:space="preserve">fertilization, embryo, placenta, trimester, hCG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</si>
</sst>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A0522D"/>
      <name val="Calibri"/>
      <family val="0"/>
      <charset val="1"/>
    </font>
    <font>
      <b val="true"/>
      <sz val="20"/>
      <color rgb="FF1E3D4C"/>
      <name val="Calibri"/>
      <family val="0"/>
      <charset val="1"/>
    </font>
    <font>
      <i val="true"/>
      <sz val="10"/>
      <color rgb="FF5C6970"/>
      <name val="Calibri"/>
      <family val="0"/>
      <charset val="1"/>
    </font>
    <font>
      <b val="true"/>
      <sz val="22"/>
      <color rgb="FF1E3D4C"/>
      <name val="Calibri"/>
      <family val="0"/>
      <charset val="1"/>
    </font>
    <font>
      <b val="true"/>
      <sz val="10"/>
      <color rgb="FF1E3D4C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E3D4C"/>
      <name val="Calibri"/>
      <family val="0"/>
      <charset val="1"/>
    </font>
    <font>
      <sz val="10"/>
      <color rgb="FF5C697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DF1F3"/>
        <bgColor rgb="FFFAFAF9"/>
      </patternFill>
    </fill>
    <fill>
      <patternFill patternType="solid">
        <fgColor rgb="FFFFFFFF"/>
        <bgColor rgb="FFFAFAF9"/>
      </patternFill>
    </fill>
    <fill>
      <patternFill patternType="solid">
        <fgColor rgb="FF1E3D4C"/>
        <bgColor rgb="FF003366"/>
      </patternFill>
    </fill>
    <fill>
      <patternFill patternType="solid">
        <fgColor rgb="FFFAFAF9"/>
        <bgColor rgb="FFFFFFFF"/>
      </patternFill>
    </fill>
    <fill>
      <patternFill patternType="solid">
        <fgColor rgb="FFF7EED8"/>
        <bgColor rgb="FFEDF1F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FD6DA"/>
      </left>
      <right style="thin">
        <color rgb="FFCFD6DA"/>
      </right>
      <top style="thin">
        <color rgb="FFCFD6DA"/>
      </top>
      <bottom style="thin">
        <color rgb="FFCFD6DA"/>
      </bottom>
      <diagonal/>
    </border>
    <border diagonalUp="false" diagonalDown="false">
      <left style="thin">
        <color rgb="FFCFD6DA"/>
      </left>
      <right style="thin">
        <color rgb="FFCFD6DA"/>
      </right>
      <top style="thin">
        <color rgb="FFCFD6DA"/>
      </top>
      <bottom style="medium">
        <color rgb="FF1E3D4C"/>
      </bottom>
      <diagonal/>
    </border>
    <border diagonalUp="false" diagonalDown="false">
      <left style="thin">
        <color rgb="FFCFD6DA"/>
      </left>
      <right style="thin">
        <color rgb="FFCFD6DA"/>
      </right>
      <top style="medium">
        <color rgb="FF9A7838"/>
      </top>
      <bottom style="thin">
        <color rgb="FFCFD6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838"/>
      <rgbColor rgb="FF800080"/>
      <rgbColor rgb="FF008080"/>
      <rgbColor rgb="FFC0C0C0"/>
      <rgbColor rgb="FF808080"/>
      <rgbColor rgb="FF9999FF"/>
      <rgbColor rgb="FF993366"/>
      <rgbColor rgb="FFF7EED8"/>
      <rgbColor rgb="FFEDF1F3"/>
      <rgbColor rgb="FF660066"/>
      <rgbColor rgb="FFFF8080"/>
      <rgbColor rgb="FF0066CC"/>
      <rgbColor rgb="FFCFD6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970"/>
      <rgbColor rgb="FF969696"/>
      <rgbColor rgb="FF003366"/>
      <rgbColor rgb="FF339966"/>
      <rgbColor rgb="FF003300"/>
      <rgbColor rgb="FF333300"/>
      <rgbColor rgb="FFA0522D"/>
      <rgbColor rgb="FF993366"/>
      <rgbColor rgb="FF333399"/>
      <rgbColor rgb="FF1E3D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38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27.75" hidden="false" customHeight="true" outlineLevel="0" collapsed="false">
      <c r="A3" s="4" t="s">
        <v>2</v>
      </c>
      <c r="B3" s="4"/>
      <c r="C3" s="4"/>
      <c r="D3" s="4"/>
      <c r="E3" s="4"/>
      <c r="F3" s="4"/>
    </row>
    <row r="5" customFormat="false" ht="21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49.5" hidden="false" customHeight="true" outlineLevel="0" collapsed="false">
      <c r="A6" s="6" t="n">
        <f aca="false">COUNTA('Video Tracker'!D6:D200)</f>
        <v>46</v>
      </c>
      <c r="B6" s="6" t="n">
        <f aca="false">COUNTIF('Video Tracker'!J6:J200,"?*")</f>
        <v>0</v>
      </c>
      <c r="C6" s="7" t="n">
        <f aca="false">IF(A6=0,0,B6/A6)</f>
        <v>0</v>
      </c>
      <c r="D6" s="6" t="n">
        <f aca="false">SUM('Video Tracker'!G6:G200)</f>
        <v>320</v>
      </c>
      <c r="E6" s="6" t="n">
        <f aca="false">MAX('Video Tracker'!A6:A200)</f>
        <v>17</v>
      </c>
    </row>
    <row r="8" customFormat="false" ht="21.75" hidden="false" customHeight="true" outlineLevel="0" collapsed="false">
      <c r="A8" s="8" t="s">
        <v>8</v>
      </c>
      <c r="B8" s="8"/>
      <c r="C8" s="8"/>
      <c r="D8" s="8"/>
      <c r="E8" s="8"/>
      <c r="F8" s="8"/>
    </row>
    <row r="9" customFormat="false" ht="27.75" hidden="false" customHeight="true" outlineLevel="0" collapsed="false">
      <c r="A9" s="9" t="s">
        <v>9</v>
      </c>
      <c r="B9" s="9" t="s">
        <v>10</v>
      </c>
      <c r="C9" s="9" t="s">
        <v>11</v>
      </c>
      <c r="D9" s="9" t="s">
        <v>12</v>
      </c>
      <c r="E9" s="9" t="s">
        <v>13</v>
      </c>
      <c r="F9" s="9" t="s">
        <v>14</v>
      </c>
    </row>
    <row r="10" customFormat="false" ht="19.5" hidden="false" customHeight="true" outlineLevel="0" collapsed="false">
      <c r="A10" s="10" t="n">
        <v>1</v>
      </c>
      <c r="B10" s="10" t="s">
        <v>15</v>
      </c>
      <c r="C10" s="11" t="s">
        <v>16</v>
      </c>
      <c r="D10" s="10" t="n">
        <f aca="false">COUNTIF('Video Tracker'!A6:A200,1)</f>
        <v>3</v>
      </c>
      <c r="E10" s="10" t="n">
        <f aca="false">COUNTIFS('Video Tracker'!A6:A200,1,'Video Tracker'!J6:J200,"?*")</f>
        <v>0</v>
      </c>
      <c r="F10" s="12" t="n">
        <f aca="false">IF(D10=0,0,E10/D10)</f>
        <v>0</v>
      </c>
    </row>
    <row r="11" customFormat="false" ht="19.5" hidden="false" customHeight="true" outlineLevel="0" collapsed="false">
      <c r="A11" s="13" t="n">
        <v>2</v>
      </c>
      <c r="B11" s="13" t="s">
        <v>17</v>
      </c>
      <c r="C11" s="14" t="s">
        <v>18</v>
      </c>
      <c r="D11" s="13" t="n">
        <f aca="false">COUNTIF('Video Tracker'!A6:A200,2)</f>
        <v>3</v>
      </c>
      <c r="E11" s="13" t="n">
        <f aca="false">COUNTIFS('Video Tracker'!A6:A200,2,'Video Tracker'!J6:J200,"?*")</f>
        <v>0</v>
      </c>
      <c r="F11" s="15" t="n">
        <f aca="false">IF(D11=0,0,E11/D11)</f>
        <v>0</v>
      </c>
    </row>
    <row r="12" customFormat="false" ht="19.5" hidden="false" customHeight="true" outlineLevel="0" collapsed="false">
      <c r="A12" s="10" t="n">
        <v>3</v>
      </c>
      <c r="B12" s="10" t="s">
        <v>19</v>
      </c>
      <c r="C12" s="11" t="s">
        <v>20</v>
      </c>
      <c r="D12" s="10" t="n">
        <f aca="false">COUNTIF('Video Tracker'!A6:A200,3)</f>
        <v>3</v>
      </c>
      <c r="E12" s="10" t="n">
        <f aca="false">COUNTIFS('Video Tracker'!A6:A200,3,'Video Tracker'!J6:J200,"?*")</f>
        <v>0</v>
      </c>
      <c r="F12" s="12" t="n">
        <f aca="false">IF(D12=0,0,E12/D12)</f>
        <v>0</v>
      </c>
    </row>
    <row r="13" customFormat="false" ht="19.5" hidden="false" customHeight="true" outlineLevel="0" collapsed="false">
      <c r="A13" s="13" t="n">
        <v>4</v>
      </c>
      <c r="B13" s="13" t="s">
        <v>21</v>
      </c>
      <c r="C13" s="14" t="s">
        <v>22</v>
      </c>
      <c r="D13" s="13" t="n">
        <f aca="false">COUNTIF('Video Tracker'!A6:A200,4)</f>
        <v>3</v>
      </c>
      <c r="E13" s="13" t="n">
        <f aca="false">COUNTIFS('Video Tracker'!A6:A200,4,'Video Tracker'!J6:J200,"?*")</f>
        <v>0</v>
      </c>
      <c r="F13" s="15" t="n">
        <f aca="false">IF(D13=0,0,E13/D13)</f>
        <v>0</v>
      </c>
    </row>
    <row r="14" customFormat="false" ht="19.5" hidden="false" customHeight="true" outlineLevel="0" collapsed="false">
      <c r="A14" s="10" t="n">
        <v>5</v>
      </c>
      <c r="B14" s="10" t="s">
        <v>23</v>
      </c>
      <c r="C14" s="11" t="s">
        <v>24</v>
      </c>
      <c r="D14" s="10" t="n">
        <f aca="false">COUNTIF('Video Tracker'!A6:A200,5)</f>
        <v>2</v>
      </c>
      <c r="E14" s="10" t="n">
        <f aca="false">COUNTIFS('Video Tracker'!A6:A200,5,'Video Tracker'!J6:J200,"?*")</f>
        <v>0</v>
      </c>
      <c r="F14" s="12" t="n">
        <f aca="false">IF(D14=0,0,E14/D14)</f>
        <v>0</v>
      </c>
    </row>
    <row r="15" customFormat="false" ht="19.5" hidden="false" customHeight="true" outlineLevel="0" collapsed="false">
      <c r="A15" s="13" t="n">
        <v>6</v>
      </c>
      <c r="B15" s="13" t="s">
        <v>25</v>
      </c>
      <c r="C15" s="14" t="s">
        <v>26</v>
      </c>
      <c r="D15" s="13" t="n">
        <f aca="false">COUNTIF('Video Tracker'!A6:A200,6)</f>
        <v>4</v>
      </c>
      <c r="E15" s="13" t="n">
        <f aca="false">COUNTIFS('Video Tracker'!A6:A200,6,'Video Tracker'!J6:J200,"?*")</f>
        <v>0</v>
      </c>
      <c r="F15" s="15" t="n">
        <f aca="false">IF(D15=0,0,E15/D15)</f>
        <v>0</v>
      </c>
    </row>
    <row r="16" customFormat="false" ht="19.5" hidden="false" customHeight="true" outlineLevel="0" collapsed="false">
      <c r="A16" s="10" t="n">
        <v>7</v>
      </c>
      <c r="B16" s="10" t="s">
        <v>27</v>
      </c>
      <c r="C16" s="11" t="s">
        <v>28</v>
      </c>
      <c r="D16" s="10" t="n">
        <f aca="false">COUNTIF('Video Tracker'!A6:A200,7)</f>
        <v>3</v>
      </c>
      <c r="E16" s="10" t="n">
        <f aca="false">COUNTIFS('Video Tracker'!A6:A200,7,'Video Tracker'!J6:J200,"?*")</f>
        <v>0</v>
      </c>
      <c r="F16" s="12" t="n">
        <f aca="false">IF(D16=0,0,E16/D16)</f>
        <v>0</v>
      </c>
    </row>
    <row r="17" customFormat="false" ht="19.5" hidden="false" customHeight="true" outlineLevel="0" collapsed="false">
      <c r="A17" s="13" t="n">
        <v>8</v>
      </c>
      <c r="B17" s="13" t="s">
        <v>29</v>
      </c>
      <c r="C17" s="14" t="s">
        <v>30</v>
      </c>
      <c r="D17" s="13" t="n">
        <f aca="false">COUNTIF('Video Tracker'!A6:A200,8)</f>
        <v>4</v>
      </c>
      <c r="E17" s="13" t="n">
        <f aca="false">COUNTIFS('Video Tracker'!A6:A200,8,'Video Tracker'!J6:J200,"?*")</f>
        <v>0</v>
      </c>
      <c r="F17" s="15" t="n">
        <f aca="false">IF(D17=0,0,E17/D17)</f>
        <v>0</v>
      </c>
    </row>
    <row r="18" customFormat="false" ht="19.5" hidden="false" customHeight="true" outlineLevel="0" collapsed="false">
      <c r="A18" s="10" t="n">
        <v>9</v>
      </c>
      <c r="B18" s="10" t="s">
        <v>31</v>
      </c>
      <c r="C18" s="11" t="s">
        <v>32</v>
      </c>
      <c r="D18" s="10" t="n">
        <f aca="false">COUNTIF('Video Tracker'!A6:A200,9)</f>
        <v>2</v>
      </c>
      <c r="E18" s="10" t="n">
        <f aca="false">COUNTIFS('Video Tracker'!A6:A200,9,'Video Tracker'!J6:J200,"?*")</f>
        <v>0</v>
      </c>
      <c r="F18" s="12" t="n">
        <f aca="false">IF(D18=0,0,E18/D18)</f>
        <v>0</v>
      </c>
    </row>
    <row r="19" customFormat="false" ht="19.5" hidden="false" customHeight="true" outlineLevel="0" collapsed="false">
      <c r="A19" s="13" t="n">
        <v>10</v>
      </c>
      <c r="B19" s="13" t="s">
        <v>33</v>
      </c>
      <c r="C19" s="14" t="s">
        <v>34</v>
      </c>
      <c r="D19" s="13" t="n">
        <f aca="false">COUNTIF('Video Tracker'!A6:A200,10)</f>
        <v>2</v>
      </c>
      <c r="E19" s="13" t="n">
        <f aca="false">COUNTIFS('Video Tracker'!A6:A200,10,'Video Tracker'!J6:J200,"?*")</f>
        <v>0</v>
      </c>
      <c r="F19" s="15" t="n">
        <f aca="false">IF(D19=0,0,E19/D19)</f>
        <v>0</v>
      </c>
    </row>
    <row r="20" customFormat="false" ht="19.5" hidden="false" customHeight="true" outlineLevel="0" collapsed="false">
      <c r="A20" s="10" t="n">
        <v>11</v>
      </c>
      <c r="B20" s="10" t="s">
        <v>35</v>
      </c>
      <c r="C20" s="11" t="s">
        <v>36</v>
      </c>
      <c r="D20" s="10" t="n">
        <f aca="false">COUNTIF('Video Tracker'!A6:A200,11)</f>
        <v>2</v>
      </c>
      <c r="E20" s="10" t="n">
        <f aca="false">COUNTIFS('Video Tracker'!A6:A200,11,'Video Tracker'!J6:J200,"?*")</f>
        <v>0</v>
      </c>
      <c r="F20" s="12" t="n">
        <f aca="false">IF(D20=0,0,E20/D20)</f>
        <v>0</v>
      </c>
    </row>
    <row r="21" customFormat="false" ht="19.5" hidden="false" customHeight="true" outlineLevel="0" collapsed="false">
      <c r="A21" s="13" t="n">
        <v>12</v>
      </c>
      <c r="B21" s="13" t="s">
        <v>37</v>
      </c>
      <c r="C21" s="14" t="s">
        <v>38</v>
      </c>
      <c r="D21" s="13" t="n">
        <f aca="false">COUNTIF('Video Tracker'!A6:A200,12)</f>
        <v>3</v>
      </c>
      <c r="E21" s="13" t="n">
        <f aca="false">COUNTIFS('Video Tracker'!A6:A200,12,'Video Tracker'!J6:J200,"?*")</f>
        <v>0</v>
      </c>
      <c r="F21" s="15" t="n">
        <f aca="false">IF(D21=0,0,E21/D21)</f>
        <v>0</v>
      </c>
    </row>
    <row r="22" customFormat="false" ht="19.5" hidden="false" customHeight="true" outlineLevel="0" collapsed="false">
      <c r="A22" s="10" t="n">
        <v>13</v>
      </c>
      <c r="B22" s="10" t="s">
        <v>39</v>
      </c>
      <c r="C22" s="11" t="s">
        <v>40</v>
      </c>
      <c r="D22" s="10" t="n">
        <f aca="false">COUNTIF('Video Tracker'!A6:A200,13)</f>
        <v>2</v>
      </c>
      <c r="E22" s="10" t="n">
        <f aca="false">COUNTIFS('Video Tracker'!A6:A200,13,'Video Tracker'!J6:J200,"?*")</f>
        <v>0</v>
      </c>
      <c r="F22" s="12" t="n">
        <f aca="false">IF(D22=0,0,E22/D22)</f>
        <v>0</v>
      </c>
    </row>
    <row r="23" customFormat="false" ht="19.5" hidden="false" customHeight="true" outlineLevel="0" collapsed="false">
      <c r="A23" s="13" t="n">
        <v>14</v>
      </c>
      <c r="B23" s="13" t="s">
        <v>41</v>
      </c>
      <c r="C23" s="14" t="s">
        <v>42</v>
      </c>
      <c r="D23" s="13" t="n">
        <f aca="false">COUNTIF('Video Tracker'!A6:A200,14)</f>
        <v>2</v>
      </c>
      <c r="E23" s="13" t="n">
        <f aca="false">COUNTIFS('Video Tracker'!A6:A200,14,'Video Tracker'!J6:J200,"?*")</f>
        <v>0</v>
      </c>
      <c r="F23" s="15" t="n">
        <f aca="false">IF(D23=0,0,E23/D23)</f>
        <v>0</v>
      </c>
    </row>
    <row r="24" customFormat="false" ht="19.5" hidden="false" customHeight="true" outlineLevel="0" collapsed="false">
      <c r="A24" s="10" t="n">
        <v>15</v>
      </c>
      <c r="B24" s="10" t="s">
        <v>43</v>
      </c>
      <c r="C24" s="11" t="s">
        <v>44</v>
      </c>
      <c r="D24" s="10" t="n">
        <f aca="false">COUNTIF('Video Tracker'!A6:A200,15)</f>
        <v>2</v>
      </c>
      <c r="E24" s="10" t="n">
        <f aca="false">COUNTIFS('Video Tracker'!A6:A200,15,'Video Tracker'!J6:J200,"?*")</f>
        <v>0</v>
      </c>
      <c r="F24" s="12" t="n">
        <f aca="false">IF(D24=0,0,E24/D24)</f>
        <v>0</v>
      </c>
    </row>
    <row r="25" customFormat="false" ht="19.5" hidden="false" customHeight="true" outlineLevel="0" collapsed="false">
      <c r="A25" s="13" t="n">
        <v>16</v>
      </c>
      <c r="B25" s="13" t="s">
        <v>45</v>
      </c>
      <c r="C25" s="14" t="s">
        <v>46</v>
      </c>
      <c r="D25" s="13" t="n">
        <f aca="false">COUNTIF('Video Tracker'!A6:A200,16)</f>
        <v>3</v>
      </c>
      <c r="E25" s="13" t="n">
        <f aca="false">COUNTIFS('Video Tracker'!A6:A200,16,'Video Tracker'!J6:J200,"?*")</f>
        <v>0</v>
      </c>
      <c r="F25" s="15" t="n">
        <f aca="false">IF(D25=0,0,E25/D25)</f>
        <v>0</v>
      </c>
    </row>
    <row r="26" customFormat="false" ht="19.5" hidden="false" customHeight="true" outlineLevel="0" collapsed="false">
      <c r="A26" s="10" t="n">
        <v>17</v>
      </c>
      <c r="B26" s="10" t="s">
        <v>47</v>
      </c>
      <c r="C26" s="11" t="s">
        <v>48</v>
      </c>
      <c r="D26" s="10" t="n">
        <f aca="false">COUNTIF('Video Tracker'!A6:A200,17)</f>
        <v>3</v>
      </c>
      <c r="E26" s="10" t="n">
        <f aca="false">COUNTIFS('Video Tracker'!A6:A200,17,'Video Tracker'!J6:J200,"?*")</f>
        <v>0</v>
      </c>
      <c r="F26" s="12" t="n">
        <f aca="false">IF(D26=0,0,E26/D26)</f>
        <v>0</v>
      </c>
    </row>
  </sheetData>
  <mergeCells count="4">
    <mergeCell ref="A1:F1"/>
    <mergeCell ref="A2:F2"/>
    <mergeCell ref="A3:F3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22"/>
    <col collapsed="false" customWidth="true" hidden="false" outlineLevel="0" max="4" min="4" style="1" width="36"/>
    <col collapsed="false" customWidth="true" hidden="false" outlineLevel="0" max="5" min="5" style="1" width="50"/>
    <col collapsed="false" customWidth="true" hidden="false" outlineLevel="0" max="6" min="6" style="1" width="32"/>
    <col collapsed="false" customWidth="true" hidden="false" outlineLevel="0" max="7" min="7" style="1" width="8"/>
    <col collapsed="false" customWidth="true" hidden="false" outlineLevel="0" max="8" min="8" style="1" width="14"/>
    <col collapsed="false" customWidth="true" hidden="false" outlineLevel="0" max="9" min="9" style="1" width="28"/>
    <col collapsed="false" customWidth="true" hidden="false" outlineLevel="0" max="10" min="10" style="1" width="44"/>
    <col collapsed="false" customWidth="true" hidden="false" outlineLevel="0" max="11" min="11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0" hidden="false" customHeight="true" outlineLevel="0" collapsed="false">
      <c r="A2" s="16" t="s">
        <v>49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customFormat="false" ht="30" hidden="false" customHeight="true" outlineLevel="0" collapsed="false">
      <c r="A3" s="4" t="s">
        <v>50</v>
      </c>
      <c r="B3" s="4"/>
      <c r="C3" s="4"/>
      <c r="D3" s="4"/>
      <c r="E3" s="4"/>
      <c r="F3" s="4"/>
      <c r="G3" s="4"/>
      <c r="H3" s="4"/>
      <c r="I3" s="4"/>
      <c r="J3" s="4"/>
      <c r="K3" s="4"/>
    </row>
    <row r="5" customFormat="false" ht="31.5" hidden="false" customHeight="true" outlineLevel="0" collapsed="false">
      <c r="A5" s="17" t="s">
        <v>9</v>
      </c>
      <c r="B5" s="17" t="s">
        <v>10</v>
      </c>
      <c r="C5" s="17" t="s">
        <v>51</v>
      </c>
      <c r="D5" s="17" t="s">
        <v>52</v>
      </c>
      <c r="E5" s="17" t="s">
        <v>53</v>
      </c>
      <c r="F5" s="17" t="s">
        <v>54</v>
      </c>
      <c r="G5" s="17" t="s">
        <v>55</v>
      </c>
      <c r="H5" s="17" t="s">
        <v>56</v>
      </c>
      <c r="I5" s="17" t="s">
        <v>57</v>
      </c>
      <c r="J5" s="17" t="s">
        <v>58</v>
      </c>
      <c r="K5" s="17" t="s">
        <v>59</v>
      </c>
    </row>
    <row r="6" customFormat="false" ht="42" hidden="false" customHeight="true" outlineLevel="0" collapsed="false">
      <c r="A6" s="18" t="n">
        <v>1</v>
      </c>
      <c r="B6" s="18" t="s">
        <v>15</v>
      </c>
      <c r="C6" s="19" t="s">
        <v>60</v>
      </c>
      <c r="D6" s="20" t="s">
        <v>61</v>
      </c>
      <c r="E6" s="21" t="s">
        <v>62</v>
      </c>
      <c r="F6" s="19" t="s">
        <v>63</v>
      </c>
      <c r="G6" s="18" t="n">
        <v>7</v>
      </c>
      <c r="H6" s="18" t="s">
        <v>64</v>
      </c>
      <c r="I6" s="21" t="s">
        <v>16</v>
      </c>
      <c r="J6" s="22"/>
      <c r="K6" s="18" t="s">
        <v>65</v>
      </c>
    </row>
    <row r="7" customFormat="false" ht="42" hidden="false" customHeight="true" outlineLevel="0" collapsed="false">
      <c r="A7" s="13" t="n">
        <v>1</v>
      </c>
      <c r="B7" s="13" t="s">
        <v>15</v>
      </c>
      <c r="C7" s="23" t="s">
        <v>66</v>
      </c>
      <c r="D7" s="24" t="s">
        <v>67</v>
      </c>
      <c r="E7" s="25" t="s">
        <v>68</v>
      </c>
      <c r="F7" s="23" t="s">
        <v>69</v>
      </c>
      <c r="G7" s="13" t="n">
        <v>7</v>
      </c>
      <c r="H7" s="13" t="s">
        <v>64</v>
      </c>
      <c r="I7" s="25" t="s">
        <v>16</v>
      </c>
      <c r="J7" s="26"/>
      <c r="K7" s="13" t="s">
        <v>65</v>
      </c>
    </row>
    <row r="8" customFormat="false" ht="42" hidden="false" customHeight="true" outlineLevel="0" collapsed="false">
      <c r="A8" s="13" t="n">
        <v>1</v>
      </c>
      <c r="B8" s="13" t="s">
        <v>15</v>
      </c>
      <c r="C8" s="23" t="s">
        <v>70</v>
      </c>
      <c r="D8" s="24" t="s">
        <v>71</v>
      </c>
      <c r="E8" s="25" t="s">
        <v>72</v>
      </c>
      <c r="F8" s="23" t="s">
        <v>73</v>
      </c>
      <c r="G8" s="13" t="n">
        <v>8</v>
      </c>
      <c r="H8" s="13" t="s">
        <v>74</v>
      </c>
      <c r="I8" s="25" t="s">
        <v>16</v>
      </c>
      <c r="J8" s="26"/>
      <c r="K8" s="13" t="s">
        <v>65</v>
      </c>
    </row>
    <row r="9" customFormat="false" ht="42" hidden="false" customHeight="true" outlineLevel="0" collapsed="false">
      <c r="A9" s="27" t="n">
        <v>2</v>
      </c>
      <c r="B9" s="27" t="s">
        <v>17</v>
      </c>
      <c r="C9" s="28" t="s">
        <v>75</v>
      </c>
      <c r="D9" s="29" t="s">
        <v>76</v>
      </c>
      <c r="E9" s="30" t="s">
        <v>77</v>
      </c>
      <c r="F9" s="28" t="s">
        <v>78</v>
      </c>
      <c r="G9" s="27" t="n">
        <v>7</v>
      </c>
      <c r="H9" s="27" t="s">
        <v>64</v>
      </c>
      <c r="I9" s="30" t="s">
        <v>18</v>
      </c>
      <c r="J9" s="22"/>
      <c r="K9" s="27" t="s">
        <v>65</v>
      </c>
    </row>
    <row r="10" customFormat="false" ht="42" hidden="false" customHeight="true" outlineLevel="0" collapsed="false">
      <c r="A10" s="10" t="n">
        <v>2</v>
      </c>
      <c r="B10" s="10" t="s">
        <v>17</v>
      </c>
      <c r="C10" s="31" t="s">
        <v>79</v>
      </c>
      <c r="D10" s="32" t="s">
        <v>80</v>
      </c>
      <c r="E10" s="33" t="s">
        <v>81</v>
      </c>
      <c r="F10" s="31" t="s">
        <v>82</v>
      </c>
      <c r="G10" s="10" t="n">
        <v>7</v>
      </c>
      <c r="H10" s="10" t="s">
        <v>64</v>
      </c>
      <c r="I10" s="33" t="s">
        <v>18</v>
      </c>
      <c r="J10" s="26"/>
      <c r="K10" s="10" t="s">
        <v>65</v>
      </c>
    </row>
    <row r="11" customFormat="false" ht="42" hidden="false" customHeight="true" outlineLevel="0" collapsed="false">
      <c r="A11" s="10" t="n">
        <v>2</v>
      </c>
      <c r="B11" s="10" t="s">
        <v>17</v>
      </c>
      <c r="C11" s="31" t="s">
        <v>83</v>
      </c>
      <c r="D11" s="32" t="s">
        <v>84</v>
      </c>
      <c r="E11" s="33" t="s">
        <v>85</v>
      </c>
      <c r="F11" s="31" t="s">
        <v>86</v>
      </c>
      <c r="G11" s="10" t="n">
        <v>7</v>
      </c>
      <c r="H11" s="10" t="s">
        <v>64</v>
      </c>
      <c r="I11" s="33" t="s">
        <v>18</v>
      </c>
      <c r="J11" s="26"/>
      <c r="K11" s="10" t="s">
        <v>65</v>
      </c>
    </row>
    <row r="12" customFormat="false" ht="42" hidden="false" customHeight="true" outlineLevel="0" collapsed="false">
      <c r="A12" s="18" t="n">
        <v>3</v>
      </c>
      <c r="B12" s="18" t="s">
        <v>19</v>
      </c>
      <c r="C12" s="19" t="s">
        <v>87</v>
      </c>
      <c r="D12" s="20" t="s">
        <v>88</v>
      </c>
      <c r="E12" s="21" t="s">
        <v>89</v>
      </c>
      <c r="F12" s="19" t="s">
        <v>90</v>
      </c>
      <c r="G12" s="18" t="n">
        <v>7</v>
      </c>
      <c r="H12" s="18" t="s">
        <v>64</v>
      </c>
      <c r="I12" s="21" t="s">
        <v>20</v>
      </c>
      <c r="J12" s="22"/>
      <c r="K12" s="18" t="s">
        <v>65</v>
      </c>
    </row>
    <row r="13" customFormat="false" ht="42" hidden="false" customHeight="true" outlineLevel="0" collapsed="false">
      <c r="A13" s="13" t="n">
        <v>3</v>
      </c>
      <c r="B13" s="13" t="s">
        <v>19</v>
      </c>
      <c r="C13" s="23" t="s">
        <v>91</v>
      </c>
      <c r="D13" s="24" t="s">
        <v>92</v>
      </c>
      <c r="E13" s="25" t="s">
        <v>93</v>
      </c>
      <c r="F13" s="23" t="s">
        <v>94</v>
      </c>
      <c r="G13" s="13" t="n">
        <v>8</v>
      </c>
      <c r="H13" s="13" t="s">
        <v>74</v>
      </c>
      <c r="I13" s="25" t="s">
        <v>20</v>
      </c>
      <c r="J13" s="26"/>
      <c r="K13" s="13" t="s">
        <v>65</v>
      </c>
    </row>
    <row r="14" customFormat="false" ht="42" hidden="false" customHeight="true" outlineLevel="0" collapsed="false">
      <c r="A14" s="13" t="n">
        <v>3</v>
      </c>
      <c r="B14" s="13" t="s">
        <v>19</v>
      </c>
      <c r="C14" s="23" t="s">
        <v>95</v>
      </c>
      <c r="D14" s="24" t="s">
        <v>96</v>
      </c>
      <c r="E14" s="25" t="s">
        <v>97</v>
      </c>
      <c r="F14" s="23" t="s">
        <v>98</v>
      </c>
      <c r="G14" s="13" t="n">
        <v>7</v>
      </c>
      <c r="H14" s="13" t="s">
        <v>64</v>
      </c>
      <c r="I14" s="25" t="s">
        <v>20</v>
      </c>
      <c r="J14" s="26"/>
      <c r="K14" s="13" t="s">
        <v>65</v>
      </c>
    </row>
    <row r="15" customFormat="false" ht="42" hidden="false" customHeight="true" outlineLevel="0" collapsed="false">
      <c r="A15" s="27" t="n">
        <v>4</v>
      </c>
      <c r="B15" s="27" t="s">
        <v>21</v>
      </c>
      <c r="C15" s="28" t="s">
        <v>99</v>
      </c>
      <c r="D15" s="29" t="s">
        <v>100</v>
      </c>
      <c r="E15" s="30" t="s">
        <v>101</v>
      </c>
      <c r="F15" s="28" t="s">
        <v>102</v>
      </c>
      <c r="G15" s="27" t="n">
        <v>7</v>
      </c>
      <c r="H15" s="27" t="s">
        <v>64</v>
      </c>
      <c r="I15" s="30" t="s">
        <v>22</v>
      </c>
      <c r="J15" s="22"/>
      <c r="K15" s="27" t="s">
        <v>65</v>
      </c>
    </row>
    <row r="16" customFormat="false" ht="42" hidden="false" customHeight="true" outlineLevel="0" collapsed="false">
      <c r="A16" s="10" t="n">
        <v>4</v>
      </c>
      <c r="B16" s="10" t="s">
        <v>21</v>
      </c>
      <c r="C16" s="31" t="s">
        <v>103</v>
      </c>
      <c r="D16" s="32" t="s">
        <v>104</v>
      </c>
      <c r="E16" s="33" t="s">
        <v>105</v>
      </c>
      <c r="F16" s="31" t="s">
        <v>106</v>
      </c>
      <c r="G16" s="10" t="n">
        <v>7</v>
      </c>
      <c r="H16" s="10" t="s">
        <v>64</v>
      </c>
      <c r="I16" s="33" t="s">
        <v>22</v>
      </c>
      <c r="J16" s="26"/>
      <c r="K16" s="10" t="s">
        <v>65</v>
      </c>
    </row>
    <row r="17" customFormat="false" ht="42" hidden="false" customHeight="true" outlineLevel="0" collapsed="false">
      <c r="A17" s="10" t="n">
        <v>4</v>
      </c>
      <c r="B17" s="10" t="s">
        <v>21</v>
      </c>
      <c r="C17" s="31" t="s">
        <v>107</v>
      </c>
      <c r="D17" s="32" t="s">
        <v>108</v>
      </c>
      <c r="E17" s="33" t="s">
        <v>109</v>
      </c>
      <c r="F17" s="31" t="s">
        <v>110</v>
      </c>
      <c r="G17" s="10" t="n">
        <v>6</v>
      </c>
      <c r="H17" s="10" t="s">
        <v>111</v>
      </c>
      <c r="I17" s="33" t="s">
        <v>22</v>
      </c>
      <c r="J17" s="26"/>
      <c r="K17" s="10" t="s">
        <v>65</v>
      </c>
    </row>
    <row r="18" customFormat="false" ht="42" hidden="false" customHeight="true" outlineLevel="0" collapsed="false">
      <c r="A18" s="18" t="n">
        <v>5</v>
      </c>
      <c r="B18" s="18" t="s">
        <v>23</v>
      </c>
      <c r="C18" s="19" t="s">
        <v>112</v>
      </c>
      <c r="D18" s="20" t="s">
        <v>113</v>
      </c>
      <c r="E18" s="21" t="s">
        <v>114</v>
      </c>
      <c r="F18" s="19" t="s">
        <v>115</v>
      </c>
      <c r="G18" s="18" t="n">
        <v>6</v>
      </c>
      <c r="H18" s="18" t="s">
        <v>111</v>
      </c>
      <c r="I18" s="21" t="s">
        <v>24</v>
      </c>
      <c r="J18" s="22"/>
      <c r="K18" s="18" t="s">
        <v>65</v>
      </c>
    </row>
    <row r="19" customFormat="false" ht="42" hidden="false" customHeight="true" outlineLevel="0" collapsed="false">
      <c r="A19" s="13" t="n">
        <v>5</v>
      </c>
      <c r="B19" s="13" t="s">
        <v>23</v>
      </c>
      <c r="C19" s="23" t="s">
        <v>116</v>
      </c>
      <c r="D19" s="24" t="s">
        <v>117</v>
      </c>
      <c r="E19" s="25" t="s">
        <v>118</v>
      </c>
      <c r="F19" s="23" t="s">
        <v>119</v>
      </c>
      <c r="G19" s="13" t="n">
        <v>6</v>
      </c>
      <c r="H19" s="13" t="s">
        <v>111</v>
      </c>
      <c r="I19" s="25" t="s">
        <v>24</v>
      </c>
      <c r="J19" s="26"/>
      <c r="K19" s="13" t="s">
        <v>65</v>
      </c>
    </row>
    <row r="20" customFormat="false" ht="42" hidden="false" customHeight="true" outlineLevel="0" collapsed="false">
      <c r="A20" s="27" t="n">
        <v>6</v>
      </c>
      <c r="B20" s="27" t="s">
        <v>25</v>
      </c>
      <c r="C20" s="28" t="s">
        <v>120</v>
      </c>
      <c r="D20" s="29" t="s">
        <v>121</v>
      </c>
      <c r="E20" s="30" t="s">
        <v>122</v>
      </c>
      <c r="F20" s="28" t="s">
        <v>123</v>
      </c>
      <c r="G20" s="27" t="n">
        <v>7</v>
      </c>
      <c r="H20" s="27" t="s">
        <v>64</v>
      </c>
      <c r="I20" s="30" t="s">
        <v>26</v>
      </c>
      <c r="J20" s="22"/>
      <c r="K20" s="27" t="s">
        <v>65</v>
      </c>
    </row>
    <row r="21" customFormat="false" ht="42" hidden="false" customHeight="true" outlineLevel="0" collapsed="false">
      <c r="A21" s="10" t="n">
        <v>6</v>
      </c>
      <c r="B21" s="10" t="s">
        <v>25</v>
      </c>
      <c r="C21" s="31" t="s">
        <v>124</v>
      </c>
      <c r="D21" s="32" t="s">
        <v>125</v>
      </c>
      <c r="E21" s="33" t="s">
        <v>126</v>
      </c>
      <c r="F21" s="31" t="s">
        <v>127</v>
      </c>
      <c r="G21" s="10" t="n">
        <v>6</v>
      </c>
      <c r="H21" s="10" t="s">
        <v>111</v>
      </c>
      <c r="I21" s="33" t="s">
        <v>26</v>
      </c>
      <c r="J21" s="26"/>
      <c r="K21" s="10" t="s">
        <v>65</v>
      </c>
    </row>
    <row r="22" customFormat="false" ht="42" hidden="false" customHeight="true" outlineLevel="0" collapsed="false">
      <c r="A22" s="10" t="n">
        <v>6</v>
      </c>
      <c r="B22" s="10" t="s">
        <v>25</v>
      </c>
      <c r="C22" s="31" t="s">
        <v>128</v>
      </c>
      <c r="D22" s="32" t="s">
        <v>129</v>
      </c>
      <c r="E22" s="33" t="s">
        <v>130</v>
      </c>
      <c r="F22" s="31" t="s">
        <v>131</v>
      </c>
      <c r="G22" s="10" t="n">
        <v>6</v>
      </c>
      <c r="H22" s="10" t="s">
        <v>111</v>
      </c>
      <c r="I22" s="33" t="s">
        <v>26</v>
      </c>
      <c r="J22" s="26"/>
      <c r="K22" s="10" t="s">
        <v>65</v>
      </c>
    </row>
    <row r="23" customFormat="false" ht="42" hidden="false" customHeight="true" outlineLevel="0" collapsed="false">
      <c r="A23" s="10" t="n">
        <v>6</v>
      </c>
      <c r="B23" s="10" t="s">
        <v>25</v>
      </c>
      <c r="C23" s="31" t="s">
        <v>132</v>
      </c>
      <c r="D23" s="32" t="s">
        <v>133</v>
      </c>
      <c r="E23" s="33" t="s">
        <v>134</v>
      </c>
      <c r="F23" s="31" t="s">
        <v>135</v>
      </c>
      <c r="G23" s="10" t="n">
        <v>6</v>
      </c>
      <c r="H23" s="10" t="s">
        <v>111</v>
      </c>
      <c r="I23" s="33" t="s">
        <v>26</v>
      </c>
      <c r="J23" s="26"/>
      <c r="K23" s="10" t="s">
        <v>65</v>
      </c>
    </row>
    <row r="24" customFormat="false" ht="42" hidden="false" customHeight="true" outlineLevel="0" collapsed="false">
      <c r="A24" s="18" t="n">
        <v>7</v>
      </c>
      <c r="B24" s="18" t="s">
        <v>27</v>
      </c>
      <c r="C24" s="19" t="s">
        <v>136</v>
      </c>
      <c r="D24" s="20" t="s">
        <v>137</v>
      </c>
      <c r="E24" s="21" t="s">
        <v>138</v>
      </c>
      <c r="F24" s="19" t="s">
        <v>139</v>
      </c>
      <c r="G24" s="18" t="n">
        <v>6</v>
      </c>
      <c r="H24" s="18" t="s">
        <v>111</v>
      </c>
      <c r="I24" s="21" t="s">
        <v>28</v>
      </c>
      <c r="J24" s="22"/>
      <c r="K24" s="18" t="s">
        <v>65</v>
      </c>
    </row>
    <row r="25" customFormat="false" ht="42" hidden="false" customHeight="true" outlineLevel="0" collapsed="false">
      <c r="A25" s="13" t="n">
        <v>7</v>
      </c>
      <c r="B25" s="13" t="s">
        <v>27</v>
      </c>
      <c r="C25" s="23" t="s">
        <v>140</v>
      </c>
      <c r="D25" s="24" t="s">
        <v>141</v>
      </c>
      <c r="E25" s="25" t="s">
        <v>142</v>
      </c>
      <c r="F25" s="23" t="s">
        <v>143</v>
      </c>
      <c r="G25" s="13" t="n">
        <v>10</v>
      </c>
      <c r="H25" s="13" t="s">
        <v>144</v>
      </c>
      <c r="I25" s="25" t="s">
        <v>28</v>
      </c>
      <c r="J25" s="26"/>
      <c r="K25" s="13" t="s">
        <v>65</v>
      </c>
    </row>
    <row r="26" customFormat="false" ht="42" hidden="false" customHeight="true" outlineLevel="0" collapsed="false">
      <c r="A26" s="13" t="n">
        <v>7</v>
      </c>
      <c r="B26" s="13" t="s">
        <v>27</v>
      </c>
      <c r="C26" s="23" t="s">
        <v>145</v>
      </c>
      <c r="D26" s="24" t="s">
        <v>146</v>
      </c>
      <c r="E26" s="25" t="s">
        <v>147</v>
      </c>
      <c r="F26" s="23" t="s">
        <v>148</v>
      </c>
      <c r="G26" s="13" t="n">
        <v>6</v>
      </c>
      <c r="H26" s="13" t="s">
        <v>111</v>
      </c>
      <c r="I26" s="25" t="s">
        <v>28</v>
      </c>
      <c r="J26" s="26"/>
      <c r="K26" s="13" t="s">
        <v>65</v>
      </c>
    </row>
    <row r="27" customFormat="false" ht="42" hidden="false" customHeight="true" outlineLevel="0" collapsed="false">
      <c r="A27" s="27" t="n">
        <v>8</v>
      </c>
      <c r="B27" s="27" t="s">
        <v>29</v>
      </c>
      <c r="C27" s="28" t="s">
        <v>149</v>
      </c>
      <c r="D27" s="29" t="s">
        <v>150</v>
      </c>
      <c r="E27" s="30" t="s">
        <v>151</v>
      </c>
      <c r="F27" s="28" t="s">
        <v>152</v>
      </c>
      <c r="G27" s="27" t="n">
        <v>6</v>
      </c>
      <c r="H27" s="27" t="s">
        <v>111</v>
      </c>
      <c r="I27" s="30" t="s">
        <v>30</v>
      </c>
      <c r="J27" s="22"/>
      <c r="K27" s="27" t="s">
        <v>65</v>
      </c>
    </row>
    <row r="28" customFormat="false" ht="42" hidden="false" customHeight="true" outlineLevel="0" collapsed="false">
      <c r="A28" s="10" t="n">
        <v>8</v>
      </c>
      <c r="B28" s="10" t="s">
        <v>29</v>
      </c>
      <c r="C28" s="31" t="s">
        <v>153</v>
      </c>
      <c r="D28" s="32" t="s">
        <v>154</v>
      </c>
      <c r="E28" s="33" t="s">
        <v>155</v>
      </c>
      <c r="F28" s="31" t="s">
        <v>156</v>
      </c>
      <c r="G28" s="10" t="n">
        <v>12</v>
      </c>
      <c r="H28" s="10" t="s">
        <v>157</v>
      </c>
      <c r="I28" s="33" t="s">
        <v>30</v>
      </c>
      <c r="J28" s="26"/>
      <c r="K28" s="10" t="s">
        <v>65</v>
      </c>
    </row>
    <row r="29" customFormat="false" ht="42" hidden="false" customHeight="true" outlineLevel="0" collapsed="false">
      <c r="A29" s="10" t="n">
        <v>8</v>
      </c>
      <c r="B29" s="10" t="s">
        <v>29</v>
      </c>
      <c r="C29" s="31" t="s">
        <v>158</v>
      </c>
      <c r="D29" s="32" t="s">
        <v>159</v>
      </c>
      <c r="E29" s="33" t="s">
        <v>160</v>
      </c>
      <c r="F29" s="31" t="s">
        <v>161</v>
      </c>
      <c r="G29" s="10" t="n">
        <v>6</v>
      </c>
      <c r="H29" s="10" t="s">
        <v>111</v>
      </c>
      <c r="I29" s="33" t="s">
        <v>30</v>
      </c>
      <c r="J29" s="26"/>
      <c r="K29" s="10" t="s">
        <v>65</v>
      </c>
    </row>
    <row r="30" customFormat="false" ht="42" hidden="false" customHeight="true" outlineLevel="0" collapsed="false">
      <c r="A30" s="10" t="n">
        <v>8</v>
      </c>
      <c r="B30" s="10" t="s">
        <v>29</v>
      </c>
      <c r="C30" s="31" t="s">
        <v>162</v>
      </c>
      <c r="D30" s="32" t="s">
        <v>163</v>
      </c>
      <c r="E30" s="33" t="s">
        <v>164</v>
      </c>
      <c r="F30" s="31" t="s">
        <v>165</v>
      </c>
      <c r="G30" s="10" t="n">
        <v>6</v>
      </c>
      <c r="H30" s="10" t="s">
        <v>111</v>
      </c>
      <c r="I30" s="33" t="s">
        <v>30</v>
      </c>
      <c r="J30" s="26"/>
      <c r="K30" s="10" t="s">
        <v>65</v>
      </c>
    </row>
    <row r="31" customFormat="false" ht="42" hidden="false" customHeight="true" outlineLevel="0" collapsed="false">
      <c r="A31" s="18" t="n">
        <v>9</v>
      </c>
      <c r="B31" s="18" t="s">
        <v>31</v>
      </c>
      <c r="C31" s="19" t="s">
        <v>166</v>
      </c>
      <c r="D31" s="20" t="s">
        <v>167</v>
      </c>
      <c r="E31" s="21" t="s">
        <v>168</v>
      </c>
      <c r="F31" s="19" t="s">
        <v>169</v>
      </c>
      <c r="G31" s="18" t="n">
        <v>6</v>
      </c>
      <c r="H31" s="18" t="s">
        <v>170</v>
      </c>
      <c r="I31" s="21" t="s">
        <v>32</v>
      </c>
      <c r="J31" s="22"/>
      <c r="K31" s="18" t="s">
        <v>65</v>
      </c>
    </row>
    <row r="32" customFormat="false" ht="42" hidden="false" customHeight="true" outlineLevel="0" collapsed="false">
      <c r="A32" s="13" t="n">
        <v>9</v>
      </c>
      <c r="B32" s="13" t="s">
        <v>31</v>
      </c>
      <c r="C32" s="23" t="s">
        <v>171</v>
      </c>
      <c r="D32" s="24" t="s">
        <v>172</v>
      </c>
      <c r="E32" s="25" t="s">
        <v>173</v>
      </c>
      <c r="F32" s="23" t="s">
        <v>174</v>
      </c>
      <c r="G32" s="13" t="n">
        <v>5</v>
      </c>
      <c r="H32" s="13" t="s">
        <v>175</v>
      </c>
      <c r="I32" s="25" t="s">
        <v>32</v>
      </c>
      <c r="J32" s="26"/>
      <c r="K32" s="13" t="s">
        <v>65</v>
      </c>
    </row>
    <row r="33" customFormat="false" ht="42" hidden="false" customHeight="true" outlineLevel="0" collapsed="false">
      <c r="A33" s="27" t="n">
        <v>10</v>
      </c>
      <c r="B33" s="27" t="s">
        <v>33</v>
      </c>
      <c r="C33" s="28" t="s">
        <v>176</v>
      </c>
      <c r="D33" s="29" t="s">
        <v>177</v>
      </c>
      <c r="E33" s="30" t="s">
        <v>178</v>
      </c>
      <c r="F33" s="28" t="s">
        <v>179</v>
      </c>
      <c r="G33" s="27" t="n">
        <v>5</v>
      </c>
      <c r="H33" s="27" t="s">
        <v>175</v>
      </c>
      <c r="I33" s="30" t="s">
        <v>34</v>
      </c>
      <c r="J33" s="22"/>
      <c r="K33" s="27" t="s">
        <v>65</v>
      </c>
    </row>
    <row r="34" customFormat="false" ht="42" hidden="false" customHeight="true" outlineLevel="0" collapsed="false">
      <c r="A34" s="10" t="n">
        <v>10</v>
      </c>
      <c r="B34" s="10" t="s">
        <v>33</v>
      </c>
      <c r="C34" s="31" t="s">
        <v>180</v>
      </c>
      <c r="D34" s="32" t="s">
        <v>181</v>
      </c>
      <c r="E34" s="33" t="s">
        <v>182</v>
      </c>
      <c r="F34" s="31" t="s">
        <v>183</v>
      </c>
      <c r="G34" s="10" t="n">
        <v>6</v>
      </c>
      <c r="H34" s="10" t="s">
        <v>111</v>
      </c>
      <c r="I34" s="33" t="s">
        <v>34</v>
      </c>
      <c r="J34" s="26"/>
      <c r="K34" s="10" t="s">
        <v>65</v>
      </c>
    </row>
    <row r="35" customFormat="false" ht="42" hidden="false" customHeight="true" outlineLevel="0" collapsed="false">
      <c r="A35" s="18" t="n">
        <v>11</v>
      </c>
      <c r="B35" s="18" t="s">
        <v>35</v>
      </c>
      <c r="C35" s="19" t="s">
        <v>184</v>
      </c>
      <c r="D35" s="20" t="s">
        <v>185</v>
      </c>
      <c r="E35" s="21" t="s">
        <v>186</v>
      </c>
      <c r="F35" s="19" t="s">
        <v>187</v>
      </c>
      <c r="G35" s="18" t="n">
        <v>6</v>
      </c>
      <c r="H35" s="18" t="s">
        <v>111</v>
      </c>
      <c r="I35" s="21" t="s">
        <v>36</v>
      </c>
      <c r="J35" s="22"/>
      <c r="K35" s="18" t="s">
        <v>65</v>
      </c>
    </row>
    <row r="36" customFormat="false" ht="42" hidden="false" customHeight="true" outlineLevel="0" collapsed="false">
      <c r="A36" s="13" t="n">
        <v>11</v>
      </c>
      <c r="B36" s="13" t="s">
        <v>35</v>
      </c>
      <c r="C36" s="23" t="s">
        <v>188</v>
      </c>
      <c r="D36" s="24" t="s">
        <v>189</v>
      </c>
      <c r="E36" s="25" t="s">
        <v>190</v>
      </c>
      <c r="F36" s="23" t="s">
        <v>191</v>
      </c>
      <c r="G36" s="13" t="n">
        <v>6</v>
      </c>
      <c r="H36" s="13" t="s">
        <v>111</v>
      </c>
      <c r="I36" s="25" t="s">
        <v>36</v>
      </c>
      <c r="J36" s="26"/>
      <c r="K36" s="13" t="s">
        <v>65</v>
      </c>
    </row>
    <row r="37" customFormat="false" ht="42" hidden="false" customHeight="true" outlineLevel="0" collapsed="false">
      <c r="A37" s="27" t="n">
        <v>12</v>
      </c>
      <c r="B37" s="27" t="s">
        <v>37</v>
      </c>
      <c r="C37" s="28" t="s">
        <v>192</v>
      </c>
      <c r="D37" s="29" t="s">
        <v>193</v>
      </c>
      <c r="E37" s="30" t="s">
        <v>194</v>
      </c>
      <c r="F37" s="28" t="s">
        <v>195</v>
      </c>
      <c r="G37" s="27" t="n">
        <v>12</v>
      </c>
      <c r="H37" s="27" t="s">
        <v>157</v>
      </c>
      <c r="I37" s="30" t="s">
        <v>38</v>
      </c>
      <c r="J37" s="22"/>
      <c r="K37" s="27" t="s">
        <v>65</v>
      </c>
    </row>
    <row r="38" customFormat="false" ht="42" hidden="false" customHeight="true" outlineLevel="0" collapsed="false">
      <c r="A38" s="10" t="n">
        <v>12</v>
      </c>
      <c r="B38" s="10" t="s">
        <v>37</v>
      </c>
      <c r="C38" s="31" t="s">
        <v>196</v>
      </c>
      <c r="D38" s="32" t="s">
        <v>197</v>
      </c>
      <c r="E38" s="33" t="s">
        <v>198</v>
      </c>
      <c r="F38" s="31" t="s">
        <v>199</v>
      </c>
      <c r="G38" s="10" t="n">
        <v>6</v>
      </c>
      <c r="H38" s="10" t="s">
        <v>111</v>
      </c>
      <c r="I38" s="33" t="s">
        <v>38</v>
      </c>
      <c r="J38" s="26"/>
      <c r="K38" s="10" t="s">
        <v>65</v>
      </c>
    </row>
    <row r="39" customFormat="false" ht="42" hidden="false" customHeight="true" outlineLevel="0" collapsed="false">
      <c r="A39" s="10" t="n">
        <v>12</v>
      </c>
      <c r="B39" s="10" t="s">
        <v>37</v>
      </c>
      <c r="C39" s="31" t="s">
        <v>200</v>
      </c>
      <c r="D39" s="32" t="s">
        <v>201</v>
      </c>
      <c r="E39" s="33" t="s">
        <v>202</v>
      </c>
      <c r="F39" s="31" t="s">
        <v>203</v>
      </c>
      <c r="G39" s="10" t="n">
        <v>5</v>
      </c>
      <c r="H39" s="10" t="s">
        <v>175</v>
      </c>
      <c r="I39" s="33" t="s">
        <v>38</v>
      </c>
      <c r="J39" s="26"/>
      <c r="K39" s="10" t="s">
        <v>65</v>
      </c>
    </row>
    <row r="40" customFormat="false" ht="42" hidden="false" customHeight="true" outlineLevel="0" collapsed="false">
      <c r="A40" s="18" t="n">
        <v>13</v>
      </c>
      <c r="B40" s="18" t="s">
        <v>39</v>
      </c>
      <c r="C40" s="19" t="s">
        <v>204</v>
      </c>
      <c r="D40" s="20" t="s">
        <v>205</v>
      </c>
      <c r="E40" s="21" t="s">
        <v>206</v>
      </c>
      <c r="F40" s="19" t="s">
        <v>207</v>
      </c>
      <c r="G40" s="18" t="n">
        <v>5</v>
      </c>
      <c r="H40" s="18" t="s">
        <v>175</v>
      </c>
      <c r="I40" s="21" t="s">
        <v>40</v>
      </c>
      <c r="J40" s="22"/>
      <c r="K40" s="18" t="s">
        <v>65</v>
      </c>
    </row>
    <row r="41" customFormat="false" ht="42" hidden="false" customHeight="true" outlineLevel="0" collapsed="false">
      <c r="A41" s="13" t="n">
        <v>13</v>
      </c>
      <c r="B41" s="13" t="s">
        <v>39</v>
      </c>
      <c r="C41" s="23" t="s">
        <v>208</v>
      </c>
      <c r="D41" s="24" t="s">
        <v>209</v>
      </c>
      <c r="E41" s="25" t="s">
        <v>210</v>
      </c>
      <c r="F41" s="23" t="s">
        <v>211</v>
      </c>
      <c r="G41" s="13" t="n">
        <v>12</v>
      </c>
      <c r="H41" s="13" t="s">
        <v>157</v>
      </c>
      <c r="I41" s="25" t="s">
        <v>40</v>
      </c>
      <c r="J41" s="26"/>
      <c r="K41" s="13" t="s">
        <v>65</v>
      </c>
    </row>
    <row r="42" customFormat="false" ht="42" hidden="false" customHeight="true" outlineLevel="0" collapsed="false">
      <c r="A42" s="27" t="n">
        <v>14</v>
      </c>
      <c r="B42" s="27" t="s">
        <v>41</v>
      </c>
      <c r="C42" s="28" t="s">
        <v>212</v>
      </c>
      <c r="D42" s="29" t="s">
        <v>213</v>
      </c>
      <c r="E42" s="30" t="s">
        <v>214</v>
      </c>
      <c r="F42" s="28" t="s">
        <v>215</v>
      </c>
      <c r="G42" s="27" t="n">
        <v>6</v>
      </c>
      <c r="H42" s="27" t="s">
        <v>111</v>
      </c>
      <c r="I42" s="30" t="s">
        <v>42</v>
      </c>
      <c r="J42" s="22"/>
      <c r="K42" s="27" t="s">
        <v>65</v>
      </c>
    </row>
    <row r="43" customFormat="false" ht="42" hidden="false" customHeight="true" outlineLevel="0" collapsed="false">
      <c r="A43" s="10" t="n">
        <v>14</v>
      </c>
      <c r="B43" s="10" t="s">
        <v>41</v>
      </c>
      <c r="C43" s="31" t="s">
        <v>216</v>
      </c>
      <c r="D43" s="32" t="s">
        <v>217</v>
      </c>
      <c r="E43" s="33" t="s">
        <v>218</v>
      </c>
      <c r="F43" s="31" t="s">
        <v>219</v>
      </c>
      <c r="G43" s="10" t="n">
        <v>12</v>
      </c>
      <c r="H43" s="10" t="s">
        <v>220</v>
      </c>
      <c r="I43" s="33" t="s">
        <v>42</v>
      </c>
      <c r="J43" s="26"/>
      <c r="K43" s="10" t="s">
        <v>65</v>
      </c>
    </row>
    <row r="44" customFormat="false" ht="42" hidden="false" customHeight="true" outlineLevel="0" collapsed="false">
      <c r="A44" s="18" t="n">
        <v>15</v>
      </c>
      <c r="B44" s="18" t="s">
        <v>43</v>
      </c>
      <c r="C44" s="19" t="s">
        <v>221</v>
      </c>
      <c r="D44" s="20" t="s">
        <v>222</v>
      </c>
      <c r="E44" s="21" t="s">
        <v>223</v>
      </c>
      <c r="F44" s="19" t="s">
        <v>224</v>
      </c>
      <c r="G44" s="18" t="n">
        <v>6</v>
      </c>
      <c r="H44" s="18" t="s">
        <v>111</v>
      </c>
      <c r="I44" s="21" t="s">
        <v>44</v>
      </c>
      <c r="J44" s="22"/>
      <c r="K44" s="18" t="s">
        <v>65</v>
      </c>
    </row>
    <row r="45" customFormat="false" ht="42" hidden="false" customHeight="true" outlineLevel="0" collapsed="false">
      <c r="A45" s="13" t="n">
        <v>15</v>
      </c>
      <c r="B45" s="13" t="s">
        <v>43</v>
      </c>
      <c r="C45" s="23" t="s">
        <v>225</v>
      </c>
      <c r="D45" s="24" t="s">
        <v>226</v>
      </c>
      <c r="E45" s="25" t="s">
        <v>227</v>
      </c>
      <c r="F45" s="23" t="s">
        <v>228</v>
      </c>
      <c r="G45" s="13" t="n">
        <v>6</v>
      </c>
      <c r="H45" s="13" t="s">
        <v>111</v>
      </c>
      <c r="I45" s="25" t="s">
        <v>44</v>
      </c>
      <c r="J45" s="26"/>
      <c r="K45" s="13" t="s">
        <v>65</v>
      </c>
    </row>
    <row r="46" customFormat="false" ht="42" hidden="false" customHeight="true" outlineLevel="0" collapsed="false">
      <c r="A46" s="27" t="n">
        <v>16</v>
      </c>
      <c r="B46" s="27" t="s">
        <v>45</v>
      </c>
      <c r="C46" s="28" t="s">
        <v>229</v>
      </c>
      <c r="D46" s="29" t="s">
        <v>230</v>
      </c>
      <c r="E46" s="30" t="s">
        <v>231</v>
      </c>
      <c r="F46" s="28" t="s">
        <v>232</v>
      </c>
      <c r="G46" s="27" t="n">
        <v>6</v>
      </c>
      <c r="H46" s="27" t="s">
        <v>111</v>
      </c>
      <c r="I46" s="30" t="s">
        <v>46</v>
      </c>
      <c r="J46" s="22"/>
      <c r="K46" s="27" t="s">
        <v>65</v>
      </c>
    </row>
    <row r="47" customFormat="false" ht="42" hidden="false" customHeight="true" outlineLevel="0" collapsed="false">
      <c r="A47" s="10" t="n">
        <v>16</v>
      </c>
      <c r="B47" s="10" t="s">
        <v>45</v>
      </c>
      <c r="C47" s="31" t="s">
        <v>233</v>
      </c>
      <c r="D47" s="32" t="s">
        <v>234</v>
      </c>
      <c r="E47" s="33" t="s">
        <v>235</v>
      </c>
      <c r="F47" s="31" t="s">
        <v>236</v>
      </c>
      <c r="G47" s="10" t="n">
        <v>12</v>
      </c>
      <c r="H47" s="10" t="s">
        <v>157</v>
      </c>
      <c r="I47" s="33" t="s">
        <v>46</v>
      </c>
      <c r="J47" s="26"/>
      <c r="K47" s="10" t="s">
        <v>65</v>
      </c>
    </row>
    <row r="48" customFormat="false" ht="42" hidden="false" customHeight="true" outlineLevel="0" collapsed="false">
      <c r="A48" s="10" t="n">
        <v>16</v>
      </c>
      <c r="B48" s="10" t="s">
        <v>45</v>
      </c>
      <c r="C48" s="31" t="s">
        <v>237</v>
      </c>
      <c r="D48" s="32" t="s">
        <v>238</v>
      </c>
      <c r="E48" s="33" t="s">
        <v>239</v>
      </c>
      <c r="F48" s="31" t="s">
        <v>240</v>
      </c>
      <c r="G48" s="10" t="n">
        <v>6</v>
      </c>
      <c r="H48" s="10" t="s">
        <v>111</v>
      </c>
      <c r="I48" s="33" t="s">
        <v>46</v>
      </c>
      <c r="J48" s="26"/>
      <c r="K48" s="10" t="s">
        <v>65</v>
      </c>
    </row>
    <row r="49" customFormat="false" ht="42" hidden="false" customHeight="true" outlineLevel="0" collapsed="false">
      <c r="A49" s="18" t="n">
        <v>17</v>
      </c>
      <c r="B49" s="18" t="s">
        <v>47</v>
      </c>
      <c r="C49" s="19" t="s">
        <v>241</v>
      </c>
      <c r="D49" s="20" t="s">
        <v>242</v>
      </c>
      <c r="E49" s="21" t="s">
        <v>243</v>
      </c>
      <c r="F49" s="19" t="s">
        <v>244</v>
      </c>
      <c r="G49" s="18" t="n">
        <v>6</v>
      </c>
      <c r="H49" s="18" t="s">
        <v>111</v>
      </c>
      <c r="I49" s="21" t="s">
        <v>48</v>
      </c>
      <c r="J49" s="22"/>
      <c r="K49" s="18" t="s">
        <v>65</v>
      </c>
    </row>
    <row r="50" customFormat="false" ht="42" hidden="false" customHeight="true" outlineLevel="0" collapsed="false">
      <c r="A50" s="13" t="n">
        <v>17</v>
      </c>
      <c r="B50" s="13" t="s">
        <v>47</v>
      </c>
      <c r="C50" s="23" t="s">
        <v>245</v>
      </c>
      <c r="D50" s="24" t="s">
        <v>246</v>
      </c>
      <c r="E50" s="25" t="s">
        <v>247</v>
      </c>
      <c r="F50" s="23" t="s">
        <v>248</v>
      </c>
      <c r="G50" s="13" t="n">
        <v>6</v>
      </c>
      <c r="H50" s="13" t="s">
        <v>111</v>
      </c>
      <c r="I50" s="25" t="s">
        <v>48</v>
      </c>
      <c r="J50" s="26"/>
      <c r="K50" s="13" t="s">
        <v>65</v>
      </c>
    </row>
    <row r="51" customFormat="false" ht="42" hidden="false" customHeight="true" outlineLevel="0" collapsed="false">
      <c r="A51" s="13" t="n">
        <v>17</v>
      </c>
      <c r="B51" s="13" t="s">
        <v>47</v>
      </c>
      <c r="C51" s="23" t="s">
        <v>249</v>
      </c>
      <c r="D51" s="24" t="s">
        <v>250</v>
      </c>
      <c r="E51" s="25" t="s">
        <v>251</v>
      </c>
      <c r="F51" s="23" t="s">
        <v>252</v>
      </c>
      <c r="G51" s="13" t="n">
        <v>6</v>
      </c>
      <c r="H51" s="13" t="s">
        <v>111</v>
      </c>
      <c r="I51" s="25" t="s">
        <v>48</v>
      </c>
      <c r="J51" s="26"/>
      <c r="K51" s="13" t="s">
        <v>65</v>
      </c>
    </row>
  </sheetData>
  <mergeCells count="3">
    <mergeCell ref="A1:K1"/>
    <mergeCell ref="A2:K2"/>
    <mergeCell ref="A3:K3"/>
  </mergeCells>
  <dataValidations count="1">
    <dataValidation allowBlank="true" error="Pick from the dropdown." errorStyle="stop" errorTitle="Invalid status" operator="between" prompt="Pending / In production / Filmed / Edited / Live / Needs re-shoot" promptTitle="Production status" showDropDown="false" showErrorMessage="false" showInputMessage="false" sqref="K6:K51" type="list">
      <formula1>"Pending,In production,Filmed,Edited,Live,Needs re-shoot"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2026-05-17T18:36:21Z</dcterms:created>
  <dc:creator>openpyxl</dc:creator>
  <dc:description/>
  <dc:language>en-US</dc:language>
  <cp:lastModifiedBy/>
  <dcterms:modified xsi:type="dcterms:W3CDTF">2026-05-17T18:37:21Z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