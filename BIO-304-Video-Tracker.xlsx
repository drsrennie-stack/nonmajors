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urse Overview" sheetId="1" state="visible" r:id="rId3"/>
    <sheet name="Video Tracker" sheetId="2" state="visible" r:id="rId4"/>
    <sheet name="Schedule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<sst xmlns="http://schemas.openxmlformats.org/spreadsheetml/2006/main" count="837" uniqueCount="353">
  <si>
    <t xml:space="preserve">BIO 304 . HUMAN ANATOMY &amp; PHYSIOLOGY . MEDMASTERS COLLABORATIVE</t>
  </si>
  <si>
    <t xml:space="preserve">Course Overview (8-Week Essentials)</t>
  </si>
  <si>
    <t xml:space="preserve">Live counts pull from the Video Tracker tab. Update URLs there and these stats refresh automatically.</t>
  </si>
  <si>
    <t xml:space="preserve">TOTAL TOPICS</t>
  </si>
  <si>
    <t xml:space="preserve">VIDEOS WITH URL</t>
  </si>
  <si>
    <t xml:space="preserve">PERCENT COMPLETE</t>
  </si>
  <si>
    <t xml:space="preserve">TOTAL CARDS</t>
  </si>
  <si>
    <t xml:space="preserve">MODULES</t>
  </si>
  <si>
    <t xml:space="preserve">Course plan (modules and topics)</t>
  </si>
  <si>
    <t xml:space="preserve">Mod #</t>
  </si>
  <si>
    <t xml:space="preserve">Day</t>
  </si>
  <si>
    <t xml:space="preserve">DoW</t>
  </si>
  <si>
    <t xml:space="preserve">Topic / Module</t>
  </si>
  <si>
    <t xml:space="preserve">Cards</t>
  </si>
  <si>
    <t xml:space="preserve">Video URL</t>
  </si>
  <si>
    <t xml:space="preserve">Notes URL</t>
  </si>
  <si>
    <t xml:space="preserve">OpenStax ref</t>
  </si>
  <si>
    <t xml:space="preserve">Status</t>
  </si>
  <si>
    <t xml:space="preserve">Wk 1</t>
  </si>
  <si>
    <t xml:space="preserve">Module 1: Foundations of Anatomy and Physiology</t>
  </si>
  <si>
    <t xml:space="preserve">3 topics</t>
  </si>
  <si>
    <t xml:space="preserve">Day 1</t>
  </si>
  <si>
    <t xml:space="preserve">Mon</t>
  </si>
  <si>
    <t xml:space="preserve">Levels of Organization</t>
  </si>
  <si>
    <t xml:space="preserve">—</t>
  </si>
  <si>
    <t xml:space="preserve">https://openstax.org/books/anatomy-and-physiology-2e/pages/1-2-structural-organization-of-the-human-body</t>
  </si>
  <si>
    <t xml:space="preserve">Pending</t>
  </si>
  <si>
    <t xml:space="preserve">Anatomical Terminology and Body Regions</t>
  </si>
  <si>
    <t xml:space="preserve">https://openstax.org/books/anatomy-and-physiology-2e/pages/1-6-anatomical-terminology</t>
  </si>
  <si>
    <t xml:space="preserve">Day 2</t>
  </si>
  <si>
    <t xml:space="preserve">Tue</t>
  </si>
  <si>
    <t xml:space="preserve">Homeostasis and Feedback Loops</t>
  </si>
  <si>
    <t xml:space="preserve">https://openstax.org/books/anatomy-and-physiology-2e/pages/1-5-homeostasis</t>
  </si>
  <si>
    <t xml:space="preserve">Module 2: The Cell</t>
  </si>
  <si>
    <t xml:space="preserve">2 topics</t>
  </si>
  <si>
    <t xml:space="preserve">Day 3</t>
  </si>
  <si>
    <t xml:space="preserve">Thu</t>
  </si>
  <si>
    <t xml:space="preserve">Cell Structure and Organelles</t>
  </si>
  <si>
    <t xml:space="preserve">https://openstax.org/books/anatomy-and-physiology-2e/pages/3-2-the-cytoplasm-and-cellular-organelles</t>
  </si>
  <si>
    <t xml:space="preserve">Day 4</t>
  </si>
  <si>
    <t xml:space="preserve">Fri</t>
  </si>
  <si>
    <t xml:space="preserve">Membrane Transport</t>
  </si>
  <si>
    <t xml:space="preserve">https://openstax.org/books/anatomy-and-physiology-2e/pages/3-1-the-cell-membrane</t>
  </si>
  <si>
    <t xml:space="preserve">Wk 2</t>
  </si>
  <si>
    <t xml:space="preserve">Module 3: Tissues</t>
  </si>
  <si>
    <t xml:space="preserve">Day 5</t>
  </si>
  <si>
    <t xml:space="preserve">Epithelial Tissue Classification</t>
  </si>
  <si>
    <t xml:space="preserve">https://openstax.org/books/anatomy-and-physiology-2e/pages/4-2-epithelial-tissue</t>
  </si>
  <si>
    <t xml:space="preserve">Day 6</t>
  </si>
  <si>
    <t xml:space="preserve">Connective Tissues</t>
  </si>
  <si>
    <t xml:space="preserve">https://openstax.org/books/anatomy-and-physiology-2e/pages/4-3-connective-tissue-supports-and-protects</t>
  </si>
  <si>
    <t xml:space="preserve">Day 7</t>
  </si>
  <si>
    <t xml:space="preserve">Muscle and Nervous Tissue Overview</t>
  </si>
  <si>
    <t xml:space="preserve">https://openstax.org/books/anatomy-and-physiology-2e/pages/4-4-muscle-tissue-and-motion</t>
  </si>
  <si>
    <t xml:space="preserve">Module 4: Integumentary System</t>
  </si>
  <si>
    <t xml:space="preserve">Skin Structure and Layers</t>
  </si>
  <si>
    <t xml:space="preserve">https://openstax.org/books/anatomy-and-physiology-2e/pages/5-1-layers-of-the-skin</t>
  </si>
  <si>
    <t xml:space="preserve">Day 8</t>
  </si>
  <si>
    <t xml:space="preserve">Skin Functions and Accessory Structures</t>
  </si>
  <si>
    <t xml:space="preserve">https://openstax.org/books/anatomy-and-physiology-2e/pages/5-3-functions-of-the-integumentary-system</t>
  </si>
  <si>
    <t xml:space="preserve">Wk 3</t>
  </si>
  <si>
    <t xml:space="preserve">Module 5: Skeletal System</t>
  </si>
  <si>
    <t xml:space="preserve">4 topics</t>
  </si>
  <si>
    <t xml:space="preserve">Day 9</t>
  </si>
  <si>
    <t xml:space="preserve">Bone Tissue and Bone Growth</t>
  </si>
  <si>
    <t xml:space="preserve">https://openstax.org/books/anatomy-and-physiology-2e/pages/6-3-bone-structure</t>
  </si>
  <si>
    <t xml:space="preserve">Day 10</t>
  </si>
  <si>
    <t xml:space="preserve">Axial Skeleton</t>
  </si>
  <si>
    <t xml:space="preserve">https://openstax.org/books/anatomy-and-physiology-2e/pages/7-1-divisions-of-the-skeletal-system</t>
  </si>
  <si>
    <t xml:space="preserve">Day 11</t>
  </si>
  <si>
    <t xml:space="preserve">Appendicular Skeleton</t>
  </si>
  <si>
    <t xml:space="preserve">https://openstax.org/books/anatomy-and-physiology-2e/pages/8-1-the-pectoral-girdle</t>
  </si>
  <si>
    <t xml:space="preserve">Day 12</t>
  </si>
  <si>
    <t xml:space="preserve">Joints and Body Movements</t>
  </si>
  <si>
    <t xml:space="preserve">https://openstax.org/books/anatomy-and-physiology-2e/pages/9-1-classification-of-joints</t>
  </si>
  <si>
    <t xml:space="preserve">Wk 4</t>
  </si>
  <si>
    <t xml:space="preserve">Module 6: Muscular System</t>
  </si>
  <si>
    <t xml:space="preserve">Day 13</t>
  </si>
  <si>
    <t xml:space="preserve">Skeletal Muscle Microanatomy</t>
  </si>
  <si>
    <t xml:space="preserve">https://openstax.org/books/anatomy-and-physiology-2e/pages/10-2-skeletal-muscle</t>
  </si>
  <si>
    <t xml:space="preserve">Motor Units and Muscle Mechanics</t>
  </si>
  <si>
    <t xml:space="preserve">https://openstax.org/books/anatomy-and-physiology-2e/pages/10-4-nervous-system-control-of-muscle-tension</t>
  </si>
  <si>
    <t xml:space="preserve">Day 14</t>
  </si>
  <si>
    <t xml:space="preserve">Sliding Filament and the Cross-Bridge Cycle</t>
  </si>
  <si>
    <t xml:space="preserve">https://openstax.org/books/anatomy-and-physiology-2e/pages/10-3-muscle-fiber-contraction-and-relaxation</t>
  </si>
  <si>
    <t xml:space="preserve">Module 7: Nervous System</t>
  </si>
  <si>
    <t xml:space="preserve">Day 15</t>
  </si>
  <si>
    <t xml:space="preserve">Neurons and Resting Membrane Potential</t>
  </si>
  <si>
    <t xml:space="preserve">https://openstax.org/books/anatomy-and-physiology-2e/pages/12-2-nervous-tissue</t>
  </si>
  <si>
    <t xml:space="preserve">Day 16</t>
  </si>
  <si>
    <t xml:space="preserve">Action Potentials and Synaptic Transmission</t>
  </si>
  <si>
    <t xml:space="preserve">https://openstax.org/books/anatomy-and-physiology-2e/pages/12-4-the-action-potential</t>
  </si>
  <si>
    <t xml:space="preserve">Day 17</t>
  </si>
  <si>
    <t xml:space="preserve">CNS Organization: Brain and Spinal Cord</t>
  </si>
  <si>
    <t xml:space="preserve">https://openstax.org/books/anatomy-and-physiology-2e/pages/13-2-the-central-nervous-system</t>
  </si>
  <si>
    <t xml:space="preserve">Day 18</t>
  </si>
  <si>
    <t xml:space="preserve">PNS and Autonomic Nervous System</t>
  </si>
  <si>
    <t xml:space="preserve">https://openstax.org/books/anatomy-and-physiology-2e/pages/15-1-divisions-of-the-autonomic-nervous-system</t>
  </si>
  <si>
    <t xml:space="preserve">Wk 5</t>
  </si>
  <si>
    <t xml:space="preserve">Module 8: Special Senses</t>
  </si>
  <si>
    <t xml:space="preserve">Day 19</t>
  </si>
  <si>
    <t xml:space="preserve">Vision</t>
  </si>
  <si>
    <t xml:space="preserve">https://openstax.org/books/anatomy-and-physiology-2e/pages/14-1-sensory-perception</t>
  </si>
  <si>
    <t xml:space="preserve">Hearing and Equilibrium</t>
  </si>
  <si>
    <t xml:space="preserve">Module 9: Endocrine System</t>
  </si>
  <si>
    <t xml:space="preserve">Day 20</t>
  </si>
  <si>
    <t xml:space="preserve">Hormone Mechanisms</t>
  </si>
  <si>
    <t xml:space="preserve">https://openstax.org/books/anatomy-and-physiology-2e/pages/17-2-hormones</t>
  </si>
  <si>
    <t xml:space="preserve">Major Endocrine Glands</t>
  </si>
  <si>
    <t xml:space="preserve">https://openstax.org/books/anatomy-and-physiology-2e/pages/17-1-an-overview-of-the-endocrine-system</t>
  </si>
  <si>
    <t xml:space="preserve">Wk 6</t>
  </si>
  <si>
    <t xml:space="preserve">Module 10: Blood</t>
  </si>
  <si>
    <t xml:space="preserve">Day 21</t>
  </si>
  <si>
    <t xml:space="preserve">Blood Composition and Hemopoiesis</t>
  </si>
  <si>
    <t xml:space="preserve">https://openstax.org/books/anatomy-and-physiology-2e/pages/18-1-functions-of-blood</t>
  </si>
  <si>
    <t xml:space="preserve">Hemostasis and Blood Typing</t>
  </si>
  <si>
    <t xml:space="preserve">https://openstax.org/books/anatomy-and-physiology-2e/pages/18-5-hemostasis</t>
  </si>
  <si>
    <t xml:space="preserve">Module 11: Cardiovascular System</t>
  </si>
  <si>
    <t xml:space="preserve">Day 22</t>
  </si>
  <si>
    <t xml:space="preserve">Heart Anatomy and the Cardiac Cycle</t>
  </si>
  <si>
    <t xml:space="preserve">https://openstax.org/books/anatomy-and-physiology-2e/pages/19-1-heart-anatomy</t>
  </si>
  <si>
    <t xml:space="preserve">Day 23</t>
  </si>
  <si>
    <t xml:space="preserve">Cardiac Conduction System</t>
  </si>
  <si>
    <t xml:space="preserve">https://openstax.org/books/anatomy-and-physiology-2e/pages/19-2-cardiac-muscle-and-electrical-activity</t>
  </si>
  <si>
    <t xml:space="preserve">Day 24</t>
  </si>
  <si>
    <t xml:space="preserve">Blood Vessels and Hemodynamics</t>
  </si>
  <si>
    <t xml:space="preserve">https://openstax.org/books/anatomy-and-physiology-2e/pages/20-2-blood-flow-blood-pressure-and-resistance</t>
  </si>
  <si>
    <t xml:space="preserve">Wk 7</t>
  </si>
  <si>
    <t xml:space="preserve">Module 12: Lymphatic and Immune System</t>
  </si>
  <si>
    <t xml:space="preserve">Day 25</t>
  </si>
  <si>
    <t xml:space="preserve">Lymphatic System and Innate Immunity</t>
  </si>
  <si>
    <t xml:space="preserve">https://openstax.org/books/anatomy-and-physiology-2e/pages/21-2-barrier-defenses-and-the-innate-immune-response</t>
  </si>
  <si>
    <t xml:space="preserve">Day 26</t>
  </si>
  <si>
    <t xml:space="preserve">Adaptive Immunity</t>
  </si>
  <si>
    <t xml:space="preserve">https://openstax.org/books/anatomy-and-physiology-2e/pages/21-3-the-adaptive-immune-response-t-lymphocytes-and-their-functional-types</t>
  </si>
  <si>
    <t xml:space="preserve">Module 13: Respiratory System</t>
  </si>
  <si>
    <t xml:space="preserve">Day 27</t>
  </si>
  <si>
    <t xml:space="preserve">Respiratory Anatomy and Mechanics</t>
  </si>
  <si>
    <t xml:space="preserve">https://openstax.org/books/anatomy-and-physiology-2e/pages/22-1-organs-and-structures-of-the-respiratory-system</t>
  </si>
  <si>
    <t xml:space="preserve">Gas Exchange and Transport</t>
  </si>
  <si>
    <t xml:space="preserve">https://openstax.org/books/anatomy-and-physiology-2e/pages/22-4-gas-exchange</t>
  </si>
  <si>
    <t xml:space="preserve">Module 14: Digestive System</t>
  </si>
  <si>
    <t xml:space="preserve">Day 28</t>
  </si>
  <si>
    <t xml:space="preserve">GI Tract Anatomy and Motility</t>
  </si>
  <si>
    <t xml:space="preserve">https://openstax.org/books/anatomy-and-physiology-2e/pages/23-1-overview-of-the-digestive-system</t>
  </si>
  <si>
    <t xml:space="preserve">Digestion and Absorption</t>
  </si>
  <si>
    <t xml:space="preserve">https://openstax.org/books/anatomy-and-physiology-2e/pages/23-7-chemical-digestion-and-absorption-a-closer-look</t>
  </si>
  <si>
    <t xml:space="preserve">Wk 8</t>
  </si>
  <si>
    <t xml:space="preserve">Module 15: Urinary System and Fluid Balance</t>
  </si>
  <si>
    <t xml:space="preserve">Day 29</t>
  </si>
  <si>
    <t xml:space="preserve">Kidney Anatomy and Glomerular Filtration</t>
  </si>
  <si>
    <t xml:space="preserve">https://openstax.org/books/anatomy-and-physiology-2e/pages/25-3-physiology-of-urine-formation</t>
  </si>
  <si>
    <t xml:space="preserve">Day 30</t>
  </si>
  <si>
    <t xml:space="preserve">Tubular Function and Urine Concentration</t>
  </si>
  <si>
    <t xml:space="preserve">https://openstax.org/books/anatomy-and-physiology-2e/pages/25-4-physiology-of-urine-formation-tubular-reabsorption-and-secretion</t>
  </si>
  <si>
    <t xml:space="preserve">Day 31</t>
  </si>
  <si>
    <t xml:space="preserve">Fluid, Electrolyte, and Acid-Base Balance</t>
  </si>
  <si>
    <t xml:space="preserve">https://openstax.org/books/anatomy-and-physiology-2e/pages/26-4-acid-base-balance</t>
  </si>
  <si>
    <t xml:space="preserve">Module 16: Reproductive System</t>
  </si>
  <si>
    <t xml:space="preserve">Male Reproductive System</t>
  </si>
  <si>
    <t xml:space="preserve">https://openstax.org/books/anatomy-and-physiology-2e/pages/27-1-anatomy-and-physiology-of-the-testicular-reproductive-system</t>
  </si>
  <si>
    <t xml:space="preserve">Day 32</t>
  </si>
  <si>
    <t xml:space="preserve">Female Reproductive System</t>
  </si>
  <si>
    <t xml:space="preserve">https://openstax.org/books/anatomy-and-physiology-2e/pages/27-2-anatomy-and-physiology-of-the-ovarian-reproductive-system</t>
  </si>
  <si>
    <t xml:space="preserve">Pregnancy A&amp;P (Basics)</t>
  </si>
  <si>
    <t xml:space="preserve">https://openstax.org/books/anatomy-and-physiology-2e/pages/28-4-maternal-changes-during-pregnancy-labor-and-birth</t>
  </si>
  <si>
    <t xml:space="preserve">Video and Notes Tracker (8-Week Schedule)</t>
  </si>
  <si>
    <t xml:space="preserve">Paste video URLs in column L, note URLs in column M. Column N has the OpenStax reference. Pre-work nights: Mon, Tue, Thu, Fri. Wednesday is recall + lab. Topic ID in column C is what the engine matches on.</t>
  </si>
  <si>
    <t xml:space="preserve">Module #</t>
  </si>
  <si>
    <t xml:space="preserve">Module</t>
  </si>
  <si>
    <t xml:space="preserve">Topic ID (do not edit)</t>
  </si>
  <si>
    <t xml:space="preserve">Topic Title</t>
  </si>
  <si>
    <t xml:space="preserve">Summary</t>
  </si>
  <si>
    <t xml:space="preserve">Gate Keywords</t>
  </si>
  <si>
    <t xml:space="preserve">DOK 1/2/3</t>
  </si>
  <si>
    <t xml:space="preserve">Day #</t>
  </si>
  <si>
    <t xml:space="preserve">Week</t>
  </si>
  <si>
    <t xml:space="preserve">Video URL (paste)</t>
  </si>
  <si>
    <t xml:space="preserve">Notes URL (paste)</t>
  </si>
  <si>
    <t xml:space="preserve">Foundations of Anatomy and Physiology</t>
  </si>
  <si>
    <t xml:space="preserve">t-levels-of-organization</t>
  </si>
  <si>
    <t xml:space="preserve">From atoms to organism: how complexity scales and where new function emerges.</t>
  </si>
  <si>
    <t xml:space="preserve">atom, cell, tissue, organ, organ system, organism</t>
  </si>
  <si>
    <t xml:space="preserve">4 / 2 / 1</t>
  </si>
  <si>
    <t xml:space="preserve">t-anatomical-terminology</t>
  </si>
  <si>
    <t xml:space="preserve">Anatomical position, directional terms, body planes, cavities, and the four abdominal quadrants.</t>
  </si>
  <si>
    <t xml:space="preserve">anatomical position, sagittal, transverse, superior, anterior, abdominopelvic</t>
  </si>
  <si>
    <t xml:space="preserve">t-homeostasis</t>
  </si>
  <si>
    <t xml:space="preserve">Set points, the four-part negative feedback loop, and why positive feedback is the rare exception.</t>
  </si>
  <si>
    <t xml:space="preserve">homeostasis, feedback, set point, receptor, effector</t>
  </si>
  <si>
    <t xml:space="preserve">4 / 2 / 2</t>
  </si>
  <si>
    <t xml:space="preserve">The Cell</t>
  </si>
  <si>
    <t xml:space="preserve">t-cell-structure</t>
  </si>
  <si>
    <t xml:space="preserve">Plasma membrane, nucleus, and the major cytoplasmic organelles that do the work of the cell.</t>
  </si>
  <si>
    <t xml:space="preserve">nucleus, mitochondria, endoplasmic reticulum, Golgi, ribosome, plasma membrane</t>
  </si>
  <si>
    <t xml:space="preserve">t-membrane-transport</t>
  </si>
  <si>
    <t xml:space="preserve">Passive vs active, simple vs facilitated, primary vs secondary, plus bulk transport.</t>
  </si>
  <si>
    <t xml:space="preserve">diffusion, osmosis, active transport, gradient, channel, carrier</t>
  </si>
  <si>
    <t xml:space="preserve">Tissues</t>
  </si>
  <si>
    <t xml:space="preserve">t-epithelial-tissue</t>
  </si>
  <si>
    <t xml:space="preserve">Naming epithelia by layer and cell shape; where each type lives and what it does.</t>
  </si>
  <si>
    <t xml:space="preserve">epithelium, simple, stratified, squamous, cuboidal, columnar</t>
  </si>
  <si>
    <t xml:space="preserve">t-connective-tissue</t>
  </si>
  <si>
    <t xml:space="preserve">Cells embedded in a matrix: loose, dense, cartilage, bone, blood.</t>
  </si>
  <si>
    <t xml:space="preserve">connective tissue, matrix, fibroblast, collagen, cartilage, bone</t>
  </si>
  <si>
    <t xml:space="preserve">t-muscle-nervous-tissue</t>
  </si>
  <si>
    <t xml:space="preserve">Three muscle types compared, plus neurons and glia at a tissue level.</t>
  </si>
  <si>
    <t xml:space="preserve">skeletal muscle, smooth muscle, cardiac muscle, neuron, glia</t>
  </si>
  <si>
    <t xml:space="preserve">4 / 1 / 1</t>
  </si>
  <si>
    <t xml:space="preserve">Integumentary System</t>
  </si>
  <si>
    <t xml:space="preserve">t-skin-layers</t>
  </si>
  <si>
    <t xml:space="preserve">Epidermis, dermis, hypodermis: who lives where and what they do.</t>
  </si>
  <si>
    <t xml:space="preserve">epidermis, dermis, hypodermis, keratin, melanin, stratum</t>
  </si>
  <si>
    <t xml:space="preserve">t-skin-functions</t>
  </si>
  <si>
    <t xml:space="preserve">Protection, thermoregulation, sensation, vitamin D; plus hair, glands, and nails.</t>
  </si>
  <si>
    <t xml:space="preserve">thermoregulation, sebaceous, sweat gland, vitamin D, hair follicle</t>
  </si>
  <si>
    <t xml:space="preserve">Skeletal System</t>
  </si>
  <si>
    <t xml:space="preserve">t-bone-tissue</t>
  </si>
  <si>
    <t xml:space="preserve">Cells of bone, compact vs spongy, intramembranous vs endochondral ossification, and lifelong remodeling.</t>
  </si>
  <si>
    <t xml:space="preserve">osteoblast, osteoclast, osteocyte, compact bone, spongy bone, ossification</t>
  </si>
  <si>
    <t xml:space="preserve">t-axial-skeleton</t>
  </si>
  <si>
    <t xml:space="preserve">Skull, vertebral column, and thoracic cage: the central axis of the body.</t>
  </si>
  <si>
    <t xml:space="preserve">skull, vertebra, cervical, thoracic, lumbar, sternum</t>
  </si>
  <si>
    <t xml:space="preserve">t-appendicular-skeleton</t>
  </si>
  <si>
    <t xml:space="preserve">Pectoral girdle and upper limb, pelvic girdle and lower limb.</t>
  </si>
  <si>
    <t xml:space="preserve">clavicle, scapula, humerus, femur, pelvis, tibia</t>
  </si>
  <si>
    <t xml:space="preserve">t-joints-movements</t>
  </si>
  <si>
    <t xml:space="preserve">Classifying joints by structure and function, plus the vocabulary of movement.</t>
  </si>
  <si>
    <t xml:space="preserve">synovial, hinge, ball-and-socket, flexion, extension, abduction</t>
  </si>
  <si>
    <t xml:space="preserve">Muscular System</t>
  </si>
  <si>
    <t xml:space="preserve">t-skeletal-muscle-microanatomy</t>
  </si>
  <si>
    <t xml:space="preserve">From whole muscle down to the sarcomere: the structural ladder of contractile tissue.</t>
  </si>
  <si>
    <t xml:space="preserve">sarcomere, myofibril, actin, myosin, sarcoplasmic reticulum</t>
  </si>
  <si>
    <t xml:space="preserve">t-motor-units</t>
  </si>
  <si>
    <t xml:space="preserve">Motor unit organization, recruitment, summation, and fatigue.</t>
  </si>
  <si>
    <t xml:space="preserve">motor unit, recruitment, twitch, summation, tetanus</t>
  </si>
  <si>
    <t xml:space="preserve">t-sliding-filament</t>
  </si>
  <si>
    <t xml:space="preserve">How calcium, ATP, actin, and myosin convert chemical energy into mechanical force.</t>
  </si>
  <si>
    <t xml:space="preserve">sliding filament, cross-bridge, calcium, troponin, tropomyosin, ATP</t>
  </si>
  <si>
    <t xml:space="preserve">5 / 3 / 2</t>
  </si>
  <si>
    <t xml:space="preserve">Nervous System</t>
  </si>
  <si>
    <t xml:space="preserve">t-neurons-rmp</t>
  </si>
  <si>
    <t xml:space="preserve">Neuron anatomy and how the resting potential is built and maintained.</t>
  </si>
  <si>
    <t xml:space="preserve">neuron, axon, dendrite, resting potential, sodium-potassium pump</t>
  </si>
  <si>
    <t xml:space="preserve">t-action-potentials</t>
  </si>
  <si>
    <t xml:space="preserve">Phases of an action potential, propagation, and how chemical synapses pass the signal on.</t>
  </si>
  <si>
    <t xml:space="preserve">depolarization, repolarization, threshold, neurotransmitter, synapse</t>
  </si>
  <si>
    <t xml:space="preserve">5 / 3 / 4</t>
  </si>
  <si>
    <t xml:space="preserve">t-cns-organization</t>
  </si>
  <si>
    <t xml:space="preserve">Brain regions and lobes, meninges, ventricles, and spinal cord anatomy.</t>
  </si>
  <si>
    <t xml:space="preserve">cerebrum, cerebellum, brainstem, spinal cord, meninges</t>
  </si>
  <si>
    <t xml:space="preserve">t-pns-autonomic</t>
  </si>
  <si>
    <t xml:space="preserve">Cranial and spinal nerves, reflex arcs, and the sympathetic vs parasympathetic divisions.</t>
  </si>
  <si>
    <t xml:space="preserve">sympathetic, parasympathetic, cranial nerves, reflex, ganglion</t>
  </si>
  <si>
    <t xml:space="preserve">Special Senses</t>
  </si>
  <si>
    <t xml:space="preserve">t-vision</t>
  </si>
  <si>
    <t xml:space="preserve">Eye anatomy, accommodation, and photoreceptor function.</t>
  </si>
  <si>
    <t xml:space="preserve">retina, rod, cone, lens, photoreceptor</t>
  </si>
  <si>
    <t xml:space="preserve">3 / 2 / 1</t>
  </si>
  <si>
    <t xml:space="preserve">t-hearing-equilibrium</t>
  </si>
  <si>
    <t xml:space="preserve">Cochlear transduction of sound and vestibular detection of head motion.</t>
  </si>
  <si>
    <t xml:space="preserve">cochlea, hair cell, vestibule, semicircular canal, organ of Corti</t>
  </si>
  <si>
    <t xml:space="preserve">3 / 1 / 1</t>
  </si>
  <si>
    <t xml:space="preserve">Endocrine System</t>
  </si>
  <si>
    <t xml:space="preserve">t-hormone-mechanisms</t>
  </si>
  <si>
    <t xml:space="preserve">Steroid vs peptide vs amino-acid-derived hormones, and how each transduces a signal.</t>
  </si>
  <si>
    <t xml:space="preserve">hormone, receptor, second messenger, steroid, peptide</t>
  </si>
  <si>
    <t xml:space="preserve">t-major-glands</t>
  </si>
  <si>
    <t xml:space="preserve">Pituitary, thyroid, parathyroid, adrenal, pancreas, gonads: who makes what and what it does.</t>
  </si>
  <si>
    <t xml:space="preserve">pituitary, thyroid, adrenal, pancreas, insulin</t>
  </si>
  <si>
    <t xml:space="preserve">Blood</t>
  </si>
  <si>
    <t xml:space="preserve">t-blood-composition</t>
  </si>
  <si>
    <t xml:space="preserve">Plasma, formed elements, and how blood cells are made in red marrow.</t>
  </si>
  <si>
    <t xml:space="preserve">plasma, erythrocyte, hemoglobin, leukocyte, platelet</t>
  </si>
  <si>
    <t xml:space="preserve">t-hemostasis-blood-typing</t>
  </si>
  <si>
    <t xml:space="preserve">Stopping bleeding in three steps, and the basics of ABO and Rh.</t>
  </si>
  <si>
    <t xml:space="preserve">hemostasis, platelet plug, fibrin, ABO, Rh</t>
  </si>
  <si>
    <t xml:space="preserve">Cardiovascular System</t>
  </si>
  <si>
    <t xml:space="preserve">t-heart-cardiac-cycle</t>
  </si>
  <si>
    <t xml:space="preserve">Chambers, valves, great vessels, and the pressure-volume story of one heartbeat.</t>
  </si>
  <si>
    <t xml:space="preserve">atrium, ventricle, valve, systole, diastole</t>
  </si>
  <si>
    <t xml:space="preserve">t-conduction-ecg</t>
  </si>
  <si>
    <t xml:space="preserve">How the heart paces itself: pacemaker, delay, and rapid ventricular spread.</t>
  </si>
  <si>
    <t xml:space="preserve">SA node, AV node, Purkinje, pacemaker, bundle of His</t>
  </si>
  <si>
    <t xml:space="preserve">t-vessels-hemodynamics</t>
  </si>
  <si>
    <t xml:space="preserve">Vessel types, blood pressure determinants, and how flow is regulated.</t>
  </si>
  <si>
    <t xml:space="preserve">artery, vein, capillary, blood pressure, resistance</t>
  </si>
  <si>
    <t xml:space="preserve">Lymphatic and Immune System</t>
  </si>
  <si>
    <t xml:space="preserve">t-lymphatic-innate</t>
  </si>
  <si>
    <t xml:space="preserve">Lymph vessels, lymphoid organs, and the body's general (non-specific) defenses.</t>
  </si>
  <si>
    <t xml:space="preserve">lymph, lymphocyte, innate, phagocyte, inflammation</t>
  </si>
  <si>
    <t xml:space="preserve">t-adaptive-immunity</t>
  </si>
  <si>
    <t xml:space="preserve">Specificity and memory: how B and T cells learn what to attack and remember it.</t>
  </si>
  <si>
    <t xml:space="preserve">B cell, T cell, antibody, antigen, MHC</t>
  </si>
  <si>
    <t xml:space="preserve">Respiratory System</t>
  </si>
  <si>
    <t xml:space="preserve">t-resp-anatomy-mechanics</t>
  </si>
  <si>
    <t xml:space="preserve">Conducting vs respiratory zones, and how pressure changes move air in and out.</t>
  </si>
  <si>
    <t xml:space="preserve">trachea, alveolus, diaphragm, pleura, Boyle</t>
  </si>
  <si>
    <t xml:space="preserve">t-gas-exchange-transport</t>
  </si>
  <si>
    <t xml:space="preserve">Diffusion at the alveoli and tissues, and how O₂ and CO₂ ride in the blood.</t>
  </si>
  <si>
    <t xml:space="preserve">alveolus, oxygen, carbon dioxide, hemoglobin, partial pressure</t>
  </si>
  <si>
    <t xml:space="preserve">4 / 4 / 4</t>
  </si>
  <si>
    <t xml:space="preserve">Digestive System</t>
  </si>
  <si>
    <t xml:space="preserve">t-gi-anatomy-motility</t>
  </si>
  <si>
    <t xml:space="preserve">From mouth to anus, the layers of the gut wall, and how food moves.</t>
  </si>
  <si>
    <t xml:space="preserve">esophagus, stomach, small intestine, peristalsis, sphincter</t>
  </si>
  <si>
    <t xml:space="preserve">t-digestion-absorption</t>
  </si>
  <si>
    <t xml:space="preserve">Where each macromolecule gets broken down and how absorption happens.</t>
  </si>
  <si>
    <t xml:space="preserve">enzyme, villi, bile, pancreas, absorption</t>
  </si>
  <si>
    <t xml:space="preserve">Urinary System and Fluid Balance</t>
  </si>
  <si>
    <t xml:space="preserve">t-kidney-filtration</t>
  </si>
  <si>
    <t xml:space="preserve">From renal cortex to nephron to filtration barrier: how urine starts.</t>
  </si>
  <si>
    <t xml:space="preserve">nephron, glomerulus, Bowman, filtration, GFR</t>
  </si>
  <si>
    <t xml:space="preserve">t-tubular-function</t>
  </si>
  <si>
    <t xml:space="preserve">How the tubules reshape the filtrate into a final urine, and how ADH and aldosterone fine-tune it.</t>
  </si>
  <si>
    <t xml:space="preserve">PCT, loop of Henle, DCT, collecting duct, ADH</t>
  </si>
  <si>
    <t xml:space="preserve">t-fluid-acid-base</t>
  </si>
  <si>
    <t xml:space="preserve">Body fluid compartments, the main electrolytes, and how the body keeps pH near 7.4.</t>
  </si>
  <si>
    <t xml:space="preserve">ICF, ECF, sodium, potassium, pH</t>
  </si>
  <si>
    <t xml:space="preserve">Reproductive System</t>
  </si>
  <si>
    <t xml:space="preserve">t-male-reproductive</t>
  </si>
  <si>
    <t xml:space="preserve">Testis structure, spermatogenesis, accessory glands, and the hormonal axis.</t>
  </si>
  <si>
    <t xml:space="preserve">testis, sperm, seminiferous, spermatogenesis, testosterone</t>
  </si>
  <si>
    <t xml:space="preserve">t-female-reproductive</t>
  </si>
  <si>
    <t xml:space="preserve">Ovary, oogenesis, the ovarian and uterine cycles, and the hormonal choreography.</t>
  </si>
  <si>
    <t xml:space="preserve">ovary, ovulation, uterus, estrogen, progesterone</t>
  </si>
  <si>
    <t xml:space="preserve">t-pregnancy-development</t>
  </si>
  <si>
    <t xml:space="preserve">Fertilization, implantation, and the maternal-fetal interface. Maternal physiology highlights through the trimesters.</t>
  </si>
  <si>
    <t xml:space="preserve">fertilization, implantation, placenta, hCG, corpus luteum</t>
  </si>
  <si>
    <t xml:space="preserve">BIO 304 . 8-WEEK SUMMER PACING</t>
  </si>
  <si>
    <t xml:space="preserve">Pre-Work Schedule (4 Days a Week)</t>
  </si>
  <si>
    <t xml:space="preserve">Each row is one night of pre-work. ★ marks anchor topics. ★★ marks high-yield standalone days. Pre-work runs Mon, Tue, Thu, Fri; Wednesday is recall + lab.</t>
  </si>
  <si>
    <t xml:space="preserve">Topics scheduled</t>
  </si>
  <si>
    <t xml:space="preserve">Anchors</t>
  </si>
  <si>
    <t xml:space="preserve">Levels of Organization  +  Anatomical Terminology and Body Regions</t>
  </si>
  <si>
    <t xml:space="preserve">Homeostasis and Feedback Loops ★</t>
  </si>
  <si>
    <t xml:space="preserve">★</t>
  </si>
  <si>
    <t xml:space="preserve">Membrane Transport ★</t>
  </si>
  <si>
    <t xml:space="preserve">Muscle and Nervous Tissue Overview  +  Skin Structure and Layers</t>
  </si>
  <si>
    <t xml:space="preserve">Skeletal Muscle Microanatomy  +  Motor Units and Muscle Mechanics</t>
  </si>
  <si>
    <t xml:space="preserve">Sliding Filament and the Cross-Bridge Cycle ★★</t>
  </si>
  <si>
    <t xml:space="preserve">★★</t>
  </si>
  <si>
    <t xml:space="preserve">Action Potentials and Synaptic Transmission ★★</t>
  </si>
  <si>
    <t xml:space="preserve">Vision  +  Hearing and Equilibrium</t>
  </si>
  <si>
    <t xml:space="preserve">Hormone Mechanisms  +  Major Endocrine Glands</t>
  </si>
  <si>
    <t xml:space="preserve">Blood Composition and Hemopoiesis  +  Hemostasis and Blood Typing</t>
  </si>
  <si>
    <t xml:space="preserve">Heart Anatomy and the Cardiac Cycle ★★</t>
  </si>
  <si>
    <t xml:space="preserve">Adaptive Immunity ★★</t>
  </si>
  <si>
    <t xml:space="preserve">Respiratory Anatomy and Mechanics  +  Gas Exchange and Transport ★★</t>
  </si>
  <si>
    <t xml:space="preserve">GI Tract Anatomy and Motility  +  Digestion and Absorption</t>
  </si>
  <si>
    <t xml:space="preserve">Tubular Function and Urine Concentration ★★</t>
  </si>
  <si>
    <t xml:space="preserve">Fluid, Electrolyte, and Acid-Base Balance  +  Male Reproductive System</t>
  </si>
  <si>
    <t xml:space="preserve">Female Reproductive System  +  Pregnancy A&amp;P (Basics)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</si>
</sst>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A0522D"/>
      <name val="Calibri"/>
      <family val="0"/>
      <charset val="1"/>
    </font>
    <font>
      <b val="true"/>
      <sz val="20"/>
      <color rgb="FF1E3D4C"/>
      <name val="Calibri"/>
      <family val="0"/>
      <charset val="1"/>
    </font>
    <font>
      <i val="true"/>
      <sz val="10"/>
      <color rgb="FF5C6970"/>
      <name val="Calibri"/>
      <family val="0"/>
      <charset val="1"/>
    </font>
    <font>
      <b val="true"/>
      <sz val="22"/>
      <color rgb="FF1E3D4C"/>
      <name val="Calibri"/>
      <family val="0"/>
      <charset val="1"/>
    </font>
    <font>
      <b val="true"/>
      <sz val="10"/>
      <color rgb="FF1E3D4C"/>
      <name val="Calibri"/>
      <family val="0"/>
      <charset val="1"/>
    </font>
    <font>
      <sz val="11"/>
      <name val="Cambria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1"/>
      <color rgb="FF1E3D4C"/>
      <name val="Calibri"/>
      <family val="0"/>
      <charset val="1"/>
    </font>
    <font>
      <sz val="10"/>
      <color rgb="FF5C6970"/>
      <name val="Calibri"/>
      <family val="0"/>
      <charset val="1"/>
    </font>
    <font>
      <sz val="10"/>
      <color rgb="FF1E3D4C"/>
      <name val="Calibri"/>
      <family val="0"/>
      <charset val="1"/>
    </font>
    <font>
      <u val="single"/>
      <sz val="10"/>
      <color rgb="FF0563C1"/>
      <name val="Calibri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EDF1F3"/>
        <bgColor rgb="FFFBEEE6"/>
      </patternFill>
    </fill>
    <fill>
      <patternFill patternType="solid">
        <fgColor rgb="FFFFFFFF"/>
        <bgColor rgb="FFFAFAF9"/>
      </patternFill>
    </fill>
    <fill>
      <patternFill patternType="solid">
        <fgColor rgb="FF1E3D4C"/>
        <bgColor rgb="FF003366"/>
      </patternFill>
    </fill>
    <fill>
      <patternFill patternType="solid">
        <fgColor rgb="FFF7EED8"/>
        <bgColor rgb="FFFBEEE6"/>
      </patternFill>
    </fill>
    <fill>
      <patternFill patternType="solid">
        <fgColor rgb="FFFBEEE6"/>
        <bgColor rgb="FFF7EED8"/>
      </patternFill>
    </fill>
    <fill>
      <patternFill patternType="solid">
        <fgColor rgb="FFFAFAF9"/>
        <bgColor rgb="FFFFFFFF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>
        <color rgb="FFCFD6DA"/>
      </left>
      <right style="thin">
        <color rgb="FFCFD6DA"/>
      </right>
      <top style="thin">
        <color rgb="FFCFD6DA"/>
      </top>
      <bottom style="thin">
        <color rgb="FFCFD6DA"/>
      </bottom>
      <diagonal/>
    </border>
    <border diagonalUp="false" diagonalDown="false">
      <left style="thin">
        <color rgb="FFCFD6DA"/>
      </left>
      <right style="thin">
        <color rgb="FFCFD6DA"/>
      </right>
      <top style="medium">
        <color rgb="FF9A7838"/>
      </top>
      <bottom style="thin">
        <color rgb="FFCFD6DA"/>
      </bottom>
      <diagonal/>
    </border>
    <border diagonalUp="false" diagonalDown="false">
      <left style="thin">
        <color rgb="FFCFD6DA"/>
      </left>
      <right style="thin">
        <color rgb="FFCFD6DA"/>
      </right>
      <top style="thin">
        <color rgb="FFCFD6DA"/>
      </top>
      <bottom style="medium">
        <color rgb="FF1E3D4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6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7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3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2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A7838"/>
      <rgbColor rgb="FF800080"/>
      <rgbColor rgb="FF008080"/>
      <rgbColor rgb="FFC0C0C0"/>
      <rgbColor rgb="FF808080"/>
      <rgbColor rgb="FF9999FF"/>
      <rgbColor rgb="FF993366"/>
      <rgbColor rgb="FFF7EED8"/>
      <rgbColor rgb="FFEDF1F3"/>
      <rgbColor rgb="FF660066"/>
      <rgbColor rgb="FFFF8080"/>
      <rgbColor rgb="FF0563C1"/>
      <rgbColor rgb="FFCFD6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AFAF9"/>
      <rgbColor rgb="FFCCFFCC"/>
      <rgbColor rgb="FFFBEEE6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C6970"/>
      <rgbColor rgb="FF969696"/>
      <rgbColor rgb="FF003366"/>
      <rgbColor rgb="FF339966"/>
      <rgbColor rgb="FF003300"/>
      <rgbColor rgb="FF333300"/>
      <rgbColor rgb="FFA0522D"/>
      <rgbColor rgb="FF993366"/>
      <rgbColor rgb="FF333399"/>
      <rgbColor rgb="FF1E3D4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8"/>
    <col collapsed="false" customWidth="true" hidden="false" outlineLevel="0" max="3" min="3" style="1" width="7"/>
    <col collapsed="false" customWidth="true" hidden="false" outlineLevel="0" max="4" min="4" style="1" width="38"/>
    <col collapsed="false" customWidth="true" hidden="false" outlineLevel="0" max="5" min="5" style="1" width="7"/>
    <col collapsed="false" customWidth="true" hidden="false" outlineLevel="0" max="7" min="6" style="1" width="26"/>
    <col collapsed="false" customWidth="true" hidden="false" outlineLevel="0" max="8" min="8" style="1" width="30"/>
    <col collapsed="false" customWidth="true" hidden="false" outlineLevel="0" max="9" min="9" style="0" width="12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</row>
    <row r="2" customFormat="false" ht="30" hidden="false" customHeight="true" outlineLevel="0" collapsed="false">
      <c r="A2" s="3" t="s">
        <v>1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2</v>
      </c>
      <c r="B3" s="4"/>
      <c r="C3" s="4"/>
      <c r="D3" s="4"/>
      <c r="E3" s="4"/>
      <c r="F3" s="4"/>
    </row>
    <row r="5" customFormat="false" ht="21.75" hidden="false" customHeight="true" outlineLevel="0" collapsed="false">
      <c r="A5" s="5" t="s">
        <v>3</v>
      </c>
      <c r="B5" s="5" t="s">
        <v>4</v>
      </c>
      <c r="C5" s="5" t="s">
        <v>5</v>
      </c>
      <c r="D5" s="5" t="s">
        <v>6</v>
      </c>
      <c r="E5" s="5" t="s">
        <v>7</v>
      </c>
      <c r="F5" s="6"/>
    </row>
    <row r="6" customFormat="false" ht="49.5" hidden="false" customHeight="true" outlineLevel="0" collapsed="false">
      <c r="A6" s="7" t="n">
        <f aca="false">COUNTA('Video Tracker'!D6:D200)</f>
        <v>42</v>
      </c>
      <c r="B6" s="7" t="n">
        <f aca="false">COUNTIF('Video Tracker'!L6:L200,"?*")</f>
        <v>0</v>
      </c>
      <c r="C6" s="8" t="n">
        <f aca="false">IF(A6=0,0,B6/A6)</f>
        <v>0</v>
      </c>
      <c r="D6" s="7" t="n">
        <f aca="false">SUM('Video Tracker'!G6:G200)</f>
        <v>295</v>
      </c>
      <c r="E6" s="7" t="n">
        <f aca="false">MAX('Video Tracker'!A6:A200)</f>
        <v>16</v>
      </c>
      <c r="F6" s="9"/>
    </row>
    <row r="8" customFormat="false" ht="21.75" hidden="false" customHeight="true" outlineLevel="0" collapsed="false">
      <c r="A8" s="10" t="s">
        <v>8</v>
      </c>
      <c r="B8" s="10"/>
      <c r="C8" s="10"/>
      <c r="D8" s="10"/>
      <c r="E8" s="10"/>
      <c r="F8" s="10"/>
      <c r="G8" s="10"/>
      <c r="H8" s="10"/>
      <c r="I8" s="10"/>
      <c r="J8" s="11"/>
      <c r="K8" s="11"/>
      <c r="L8" s="11"/>
      <c r="M8" s="11"/>
      <c r="N8" s="11"/>
      <c r="O8" s="11"/>
      <c r="P8" s="11"/>
      <c r="Q8" s="11"/>
      <c r="R8" s="11"/>
      <c r="S8" s="11"/>
    </row>
    <row r="9" customFormat="false" ht="27.75" hidden="false" customHeight="true" outlineLevel="0" collapsed="false">
      <c r="A9" s="12" t="s">
        <v>9</v>
      </c>
      <c r="B9" s="12" t="s">
        <v>10</v>
      </c>
      <c r="C9" s="12" t="s">
        <v>11</v>
      </c>
      <c r="D9" s="12" t="s">
        <v>12</v>
      </c>
      <c r="E9" s="12" t="s">
        <v>13</v>
      </c>
      <c r="F9" s="12" t="s">
        <v>14</v>
      </c>
      <c r="G9" s="12" t="s">
        <v>15</v>
      </c>
      <c r="H9" s="12" t="s">
        <v>16</v>
      </c>
      <c r="I9" s="12" t="s">
        <v>17</v>
      </c>
      <c r="J9" s="11"/>
      <c r="K9" s="11"/>
      <c r="L9" s="11"/>
      <c r="M9" s="11"/>
      <c r="N9" s="11"/>
      <c r="O9" s="11"/>
      <c r="P9" s="11"/>
      <c r="Q9" s="11"/>
      <c r="R9" s="11"/>
      <c r="S9" s="11"/>
    </row>
    <row r="10" customFormat="false" ht="21.75" hidden="false" customHeight="true" outlineLevel="0" collapsed="false">
      <c r="A10" s="13" t="n">
        <v>1</v>
      </c>
      <c r="B10" s="13"/>
      <c r="C10" s="13" t="s">
        <v>18</v>
      </c>
      <c r="D10" s="14" t="s">
        <v>19</v>
      </c>
      <c r="E10" s="15" t="n">
        <v>22</v>
      </c>
      <c r="F10" s="16" t="s">
        <v>20</v>
      </c>
      <c r="G10" s="13"/>
      <c r="H10" s="13"/>
      <c r="I10" s="13"/>
      <c r="J10" s="11"/>
      <c r="K10" s="11"/>
      <c r="L10" s="11"/>
      <c r="M10" s="11"/>
      <c r="N10" s="11"/>
      <c r="O10" s="11"/>
      <c r="P10" s="11"/>
      <c r="Q10" s="11"/>
      <c r="R10" s="11"/>
      <c r="S10" s="11"/>
    </row>
    <row r="11" customFormat="false" ht="19.5" hidden="false" customHeight="true" outlineLevel="0" collapsed="false">
      <c r="A11" s="17"/>
      <c r="B11" s="18" t="s">
        <v>21</v>
      </c>
      <c r="C11" s="18" t="s">
        <v>22</v>
      </c>
      <c r="D11" s="19" t="s">
        <v>23</v>
      </c>
      <c r="E11" s="20" t="n">
        <v>7</v>
      </c>
      <c r="F11" s="21" t="s">
        <v>24</v>
      </c>
      <c r="G11" s="22" t="s">
        <v>24</v>
      </c>
      <c r="H11" s="23" t="s">
        <v>25</v>
      </c>
      <c r="I11" s="18" t="s">
        <v>26</v>
      </c>
      <c r="J11" s="11"/>
      <c r="K11" s="11"/>
      <c r="L11" s="11"/>
      <c r="M11" s="11"/>
      <c r="N11" s="11"/>
      <c r="O11" s="11"/>
      <c r="P11" s="11"/>
      <c r="Q11" s="11"/>
      <c r="R11" s="11"/>
      <c r="S11" s="11"/>
    </row>
    <row r="12" customFormat="false" ht="19.5" hidden="false" customHeight="true" outlineLevel="0" collapsed="false">
      <c r="A12" s="24"/>
      <c r="B12" s="25" t="s">
        <v>21</v>
      </c>
      <c r="C12" s="25" t="s">
        <v>22</v>
      </c>
      <c r="D12" s="26" t="s">
        <v>27</v>
      </c>
      <c r="E12" s="27" t="n">
        <v>7</v>
      </c>
      <c r="F12" s="21" t="s">
        <v>24</v>
      </c>
      <c r="G12" s="22" t="s">
        <v>24</v>
      </c>
      <c r="H12" s="23" t="s">
        <v>28</v>
      </c>
      <c r="I12" s="25" t="s">
        <v>26</v>
      </c>
      <c r="J12" s="11"/>
      <c r="K12" s="11"/>
      <c r="L12" s="11"/>
      <c r="M12" s="11"/>
      <c r="N12" s="11"/>
      <c r="O12" s="11"/>
      <c r="P12" s="11"/>
      <c r="Q12" s="11"/>
      <c r="R12" s="11"/>
      <c r="S12" s="11"/>
    </row>
    <row r="13" customFormat="false" ht="19.5" hidden="false" customHeight="true" outlineLevel="0" collapsed="false">
      <c r="A13" s="17"/>
      <c r="B13" s="18" t="s">
        <v>29</v>
      </c>
      <c r="C13" s="18" t="s">
        <v>30</v>
      </c>
      <c r="D13" s="19" t="s">
        <v>31</v>
      </c>
      <c r="E13" s="20" t="n">
        <v>8</v>
      </c>
      <c r="F13" s="21" t="s">
        <v>24</v>
      </c>
      <c r="G13" s="22" t="s">
        <v>24</v>
      </c>
      <c r="H13" s="23" t="s">
        <v>32</v>
      </c>
      <c r="I13" s="18" t="s">
        <v>26</v>
      </c>
      <c r="J13" s="11"/>
      <c r="K13" s="11"/>
      <c r="L13" s="11"/>
      <c r="M13" s="11"/>
      <c r="N13" s="11"/>
      <c r="O13" s="11"/>
      <c r="P13" s="11"/>
      <c r="Q13" s="11"/>
      <c r="R13" s="11"/>
      <c r="S13" s="11"/>
    </row>
    <row r="14" customFormat="false" ht="21.75" hidden="false" customHeight="true" outlineLevel="0" collapsed="false">
      <c r="A14" s="13" t="n">
        <v>2</v>
      </c>
      <c r="B14" s="13"/>
      <c r="C14" s="13" t="s">
        <v>18</v>
      </c>
      <c r="D14" s="14" t="s">
        <v>33</v>
      </c>
      <c r="E14" s="15" t="n">
        <v>15</v>
      </c>
      <c r="F14" s="16" t="s">
        <v>34</v>
      </c>
      <c r="G14" s="13"/>
      <c r="H14" s="13"/>
      <c r="I14" s="13"/>
      <c r="J14" s="11"/>
      <c r="K14" s="11"/>
      <c r="L14" s="11"/>
      <c r="M14" s="11"/>
      <c r="N14" s="11"/>
      <c r="O14" s="11"/>
      <c r="P14" s="11"/>
      <c r="Q14" s="11"/>
      <c r="R14" s="11"/>
      <c r="S14" s="11"/>
    </row>
    <row r="15" customFormat="false" ht="19.5" hidden="false" customHeight="true" outlineLevel="0" collapsed="false">
      <c r="A15" s="17"/>
      <c r="B15" s="18" t="s">
        <v>35</v>
      </c>
      <c r="C15" s="18" t="s">
        <v>36</v>
      </c>
      <c r="D15" s="19" t="s">
        <v>37</v>
      </c>
      <c r="E15" s="20" t="n">
        <v>7</v>
      </c>
      <c r="F15" s="21" t="s">
        <v>24</v>
      </c>
      <c r="G15" s="22" t="s">
        <v>24</v>
      </c>
      <c r="H15" s="23" t="s">
        <v>38</v>
      </c>
      <c r="I15" s="18" t="s">
        <v>26</v>
      </c>
      <c r="J15" s="11"/>
      <c r="K15" s="11"/>
      <c r="L15" s="11"/>
      <c r="M15" s="11"/>
      <c r="N15" s="11"/>
      <c r="O15" s="11"/>
      <c r="P15" s="11"/>
      <c r="Q15" s="11"/>
      <c r="R15" s="11"/>
      <c r="S15" s="11"/>
    </row>
    <row r="16" customFormat="false" ht="19.5" hidden="false" customHeight="true" outlineLevel="0" collapsed="false">
      <c r="A16" s="24"/>
      <c r="B16" s="25" t="s">
        <v>39</v>
      </c>
      <c r="C16" s="25" t="s">
        <v>40</v>
      </c>
      <c r="D16" s="26" t="s">
        <v>41</v>
      </c>
      <c r="E16" s="27" t="n">
        <v>8</v>
      </c>
      <c r="F16" s="21" t="s">
        <v>24</v>
      </c>
      <c r="G16" s="22" t="s">
        <v>24</v>
      </c>
      <c r="H16" s="23" t="s">
        <v>42</v>
      </c>
      <c r="I16" s="25" t="s">
        <v>26</v>
      </c>
      <c r="J16" s="11"/>
      <c r="K16" s="11"/>
      <c r="L16" s="11"/>
      <c r="M16" s="11"/>
      <c r="N16" s="11"/>
      <c r="O16" s="11"/>
      <c r="P16" s="11"/>
      <c r="Q16" s="11"/>
      <c r="R16" s="11"/>
      <c r="S16" s="11"/>
    </row>
    <row r="17" customFormat="false" ht="21.75" hidden="false" customHeight="true" outlineLevel="0" collapsed="false">
      <c r="A17" s="13" t="n">
        <v>3</v>
      </c>
      <c r="B17" s="13"/>
      <c r="C17" s="13" t="s">
        <v>43</v>
      </c>
      <c r="D17" s="14" t="s">
        <v>44</v>
      </c>
      <c r="E17" s="15" t="n">
        <v>20</v>
      </c>
      <c r="F17" s="16" t="s">
        <v>20</v>
      </c>
      <c r="G17" s="13"/>
      <c r="H17" s="13"/>
      <c r="I17" s="13"/>
      <c r="J17" s="11"/>
      <c r="K17" s="11"/>
      <c r="L17" s="11"/>
      <c r="M17" s="11"/>
      <c r="N17" s="11"/>
      <c r="O17" s="11"/>
      <c r="P17" s="11"/>
      <c r="Q17" s="11"/>
      <c r="R17" s="11"/>
      <c r="S17" s="11"/>
    </row>
    <row r="18" customFormat="false" ht="19.5" hidden="false" customHeight="true" outlineLevel="0" collapsed="false">
      <c r="A18" s="24"/>
      <c r="B18" s="25" t="s">
        <v>45</v>
      </c>
      <c r="C18" s="25" t="s">
        <v>22</v>
      </c>
      <c r="D18" s="26" t="s">
        <v>46</v>
      </c>
      <c r="E18" s="27" t="n">
        <v>7</v>
      </c>
      <c r="F18" s="21" t="s">
        <v>24</v>
      </c>
      <c r="G18" s="22" t="s">
        <v>24</v>
      </c>
      <c r="H18" s="23" t="s">
        <v>47</v>
      </c>
      <c r="I18" s="25" t="s">
        <v>26</v>
      </c>
      <c r="J18" s="11"/>
      <c r="K18" s="11"/>
      <c r="L18" s="11"/>
      <c r="M18" s="11"/>
      <c r="N18" s="11"/>
      <c r="O18" s="11"/>
      <c r="P18" s="11"/>
      <c r="Q18" s="11"/>
      <c r="R18" s="11"/>
      <c r="S18" s="11"/>
    </row>
    <row r="19" customFormat="false" ht="19.5" hidden="false" customHeight="true" outlineLevel="0" collapsed="false">
      <c r="A19" s="17"/>
      <c r="B19" s="18" t="s">
        <v>48</v>
      </c>
      <c r="C19" s="18" t="s">
        <v>30</v>
      </c>
      <c r="D19" s="19" t="s">
        <v>49</v>
      </c>
      <c r="E19" s="20" t="n">
        <v>7</v>
      </c>
      <c r="F19" s="21" t="s">
        <v>24</v>
      </c>
      <c r="G19" s="22" t="s">
        <v>24</v>
      </c>
      <c r="H19" s="23" t="s">
        <v>50</v>
      </c>
      <c r="I19" s="18" t="s">
        <v>26</v>
      </c>
      <c r="J19" s="11"/>
      <c r="K19" s="11"/>
      <c r="L19" s="11"/>
      <c r="M19" s="11"/>
      <c r="N19" s="11"/>
      <c r="O19" s="11"/>
      <c r="P19" s="11"/>
      <c r="Q19" s="11"/>
      <c r="R19" s="11"/>
      <c r="S19" s="11"/>
    </row>
    <row r="20" customFormat="false" ht="19.5" hidden="false" customHeight="true" outlineLevel="0" collapsed="false">
      <c r="A20" s="24"/>
      <c r="B20" s="25" t="s">
        <v>51</v>
      </c>
      <c r="C20" s="25" t="s">
        <v>36</v>
      </c>
      <c r="D20" s="26" t="s">
        <v>52</v>
      </c>
      <c r="E20" s="27" t="n">
        <v>6</v>
      </c>
      <c r="F20" s="21" t="s">
        <v>24</v>
      </c>
      <c r="G20" s="22" t="s">
        <v>24</v>
      </c>
      <c r="H20" s="23" t="s">
        <v>53</v>
      </c>
      <c r="I20" s="25" t="s">
        <v>26</v>
      </c>
      <c r="J20" s="11"/>
      <c r="K20" s="11"/>
      <c r="L20" s="11"/>
      <c r="M20" s="11"/>
      <c r="N20" s="11"/>
      <c r="O20" s="11"/>
      <c r="P20" s="11"/>
      <c r="Q20" s="11"/>
      <c r="R20" s="11"/>
      <c r="S20" s="11"/>
    </row>
    <row r="21" customFormat="false" ht="21.75" hidden="false" customHeight="true" outlineLevel="0" collapsed="false">
      <c r="A21" s="13" t="n">
        <v>4</v>
      </c>
      <c r="B21" s="13"/>
      <c r="C21" s="13" t="s">
        <v>43</v>
      </c>
      <c r="D21" s="14" t="s">
        <v>54</v>
      </c>
      <c r="E21" s="15" t="n">
        <v>12</v>
      </c>
      <c r="F21" s="16" t="s">
        <v>34</v>
      </c>
      <c r="G21" s="13"/>
      <c r="H21" s="13"/>
      <c r="I21" s="13"/>
      <c r="J21" s="11"/>
      <c r="K21" s="11"/>
      <c r="L21" s="11"/>
      <c r="M21" s="11"/>
      <c r="N21" s="11"/>
      <c r="O21" s="11"/>
      <c r="P21" s="11"/>
      <c r="Q21" s="11"/>
      <c r="R21" s="11"/>
      <c r="S21" s="11"/>
    </row>
    <row r="22" customFormat="false" ht="19.5" hidden="false" customHeight="true" outlineLevel="0" collapsed="false">
      <c r="A22" s="24"/>
      <c r="B22" s="25" t="s">
        <v>51</v>
      </c>
      <c r="C22" s="25" t="s">
        <v>36</v>
      </c>
      <c r="D22" s="26" t="s">
        <v>55</v>
      </c>
      <c r="E22" s="27" t="n">
        <v>6</v>
      </c>
      <c r="F22" s="21" t="s">
        <v>24</v>
      </c>
      <c r="G22" s="22" t="s">
        <v>24</v>
      </c>
      <c r="H22" s="23" t="s">
        <v>56</v>
      </c>
      <c r="I22" s="25" t="s">
        <v>26</v>
      </c>
      <c r="J22" s="11"/>
      <c r="K22" s="11"/>
      <c r="L22" s="11"/>
      <c r="M22" s="11"/>
      <c r="N22" s="11"/>
      <c r="O22" s="11"/>
      <c r="P22" s="11"/>
      <c r="Q22" s="11"/>
      <c r="R22" s="11"/>
      <c r="S22" s="11"/>
    </row>
    <row r="23" customFormat="false" ht="19.5" hidden="false" customHeight="true" outlineLevel="0" collapsed="false">
      <c r="A23" s="17"/>
      <c r="B23" s="18" t="s">
        <v>57</v>
      </c>
      <c r="C23" s="18" t="s">
        <v>40</v>
      </c>
      <c r="D23" s="19" t="s">
        <v>58</v>
      </c>
      <c r="E23" s="20" t="n">
        <v>6</v>
      </c>
      <c r="F23" s="21" t="s">
        <v>24</v>
      </c>
      <c r="G23" s="22" t="s">
        <v>24</v>
      </c>
      <c r="H23" s="23" t="s">
        <v>59</v>
      </c>
      <c r="I23" s="18" t="s">
        <v>26</v>
      </c>
      <c r="J23" s="11"/>
      <c r="K23" s="11"/>
      <c r="L23" s="11"/>
      <c r="M23" s="11"/>
      <c r="N23" s="11"/>
      <c r="O23" s="11"/>
      <c r="P23" s="11"/>
      <c r="Q23" s="11"/>
      <c r="R23" s="11"/>
      <c r="S23" s="11"/>
    </row>
    <row r="24" customFormat="false" ht="21.75" hidden="false" customHeight="true" outlineLevel="0" collapsed="false">
      <c r="A24" s="13" t="n">
        <v>5</v>
      </c>
      <c r="B24" s="13"/>
      <c r="C24" s="13" t="s">
        <v>60</v>
      </c>
      <c r="D24" s="14" t="s">
        <v>61</v>
      </c>
      <c r="E24" s="15" t="n">
        <v>25</v>
      </c>
      <c r="F24" s="16" t="s">
        <v>62</v>
      </c>
      <c r="G24" s="13"/>
      <c r="H24" s="13"/>
      <c r="I24" s="13"/>
      <c r="J24" s="11"/>
      <c r="K24" s="11"/>
      <c r="L24" s="11"/>
      <c r="M24" s="11"/>
      <c r="N24" s="11"/>
      <c r="O24" s="11"/>
      <c r="P24" s="11"/>
      <c r="Q24" s="11"/>
      <c r="R24" s="11"/>
      <c r="S24" s="11"/>
    </row>
    <row r="25" customFormat="false" ht="19.5" hidden="false" customHeight="true" outlineLevel="0" collapsed="false">
      <c r="A25" s="17"/>
      <c r="B25" s="18" t="s">
        <v>63</v>
      </c>
      <c r="C25" s="18" t="s">
        <v>22</v>
      </c>
      <c r="D25" s="19" t="s">
        <v>64</v>
      </c>
      <c r="E25" s="20" t="n">
        <v>7</v>
      </c>
      <c r="F25" s="21" t="s">
        <v>24</v>
      </c>
      <c r="G25" s="22" t="s">
        <v>24</v>
      </c>
      <c r="H25" s="23" t="s">
        <v>65</v>
      </c>
      <c r="I25" s="18" t="s">
        <v>26</v>
      </c>
      <c r="J25" s="11"/>
      <c r="K25" s="11"/>
      <c r="L25" s="11"/>
      <c r="M25" s="11"/>
      <c r="N25" s="11"/>
      <c r="O25" s="11"/>
      <c r="P25" s="11"/>
      <c r="Q25" s="11"/>
      <c r="R25" s="11"/>
      <c r="S25" s="11"/>
    </row>
    <row r="26" customFormat="false" ht="19.5" hidden="false" customHeight="true" outlineLevel="0" collapsed="false">
      <c r="A26" s="24"/>
      <c r="B26" s="25" t="s">
        <v>66</v>
      </c>
      <c r="C26" s="25" t="s">
        <v>30</v>
      </c>
      <c r="D26" s="26" t="s">
        <v>67</v>
      </c>
      <c r="E26" s="27" t="n">
        <v>6</v>
      </c>
      <c r="F26" s="28" t="s">
        <v>24</v>
      </c>
      <c r="G26" s="22" t="s">
        <v>24</v>
      </c>
      <c r="H26" s="23" t="s">
        <v>68</v>
      </c>
      <c r="I26" s="25" t="s">
        <v>26</v>
      </c>
      <c r="J26" s="11"/>
      <c r="K26" s="11"/>
      <c r="L26" s="11"/>
      <c r="M26" s="11"/>
      <c r="N26" s="11"/>
      <c r="O26" s="11"/>
      <c r="P26" s="11"/>
      <c r="Q26" s="11"/>
      <c r="R26" s="11"/>
      <c r="S26" s="11"/>
    </row>
    <row r="27" customFormat="false" ht="19.5" hidden="false" customHeight="true" outlineLevel="0" collapsed="false">
      <c r="A27" s="17"/>
      <c r="B27" s="18" t="s">
        <v>69</v>
      </c>
      <c r="C27" s="18" t="s">
        <v>36</v>
      </c>
      <c r="D27" s="19" t="s">
        <v>70</v>
      </c>
      <c r="E27" s="20" t="n">
        <v>6</v>
      </c>
      <c r="F27" s="28" t="s">
        <v>24</v>
      </c>
      <c r="G27" s="22" t="s">
        <v>24</v>
      </c>
      <c r="H27" s="23" t="s">
        <v>71</v>
      </c>
      <c r="I27" s="18" t="s">
        <v>26</v>
      </c>
      <c r="J27" s="11"/>
      <c r="K27" s="11"/>
      <c r="L27" s="11"/>
      <c r="M27" s="11"/>
      <c r="N27" s="11"/>
      <c r="O27" s="11"/>
      <c r="P27" s="11"/>
      <c r="Q27" s="11"/>
      <c r="R27" s="11"/>
      <c r="S27" s="11"/>
    </row>
    <row r="28" customFormat="false" ht="19.5" hidden="false" customHeight="true" outlineLevel="0" collapsed="false">
      <c r="A28" s="24"/>
      <c r="B28" s="25" t="s">
        <v>72</v>
      </c>
      <c r="C28" s="25" t="s">
        <v>40</v>
      </c>
      <c r="D28" s="26" t="s">
        <v>73</v>
      </c>
      <c r="E28" s="27" t="n">
        <v>6</v>
      </c>
      <c r="F28" s="28" t="s">
        <v>24</v>
      </c>
      <c r="G28" s="22" t="s">
        <v>24</v>
      </c>
      <c r="H28" s="23" t="s">
        <v>74</v>
      </c>
      <c r="I28" s="25" t="s">
        <v>26</v>
      </c>
      <c r="J28" s="11"/>
      <c r="K28" s="11"/>
      <c r="L28" s="11"/>
      <c r="M28" s="11"/>
      <c r="N28" s="11"/>
      <c r="O28" s="11"/>
      <c r="P28" s="11"/>
      <c r="Q28" s="11"/>
      <c r="R28" s="11"/>
      <c r="S28" s="11"/>
    </row>
    <row r="29" customFormat="false" ht="21.75" hidden="false" customHeight="true" outlineLevel="0" collapsed="false">
      <c r="A29" s="13" t="n">
        <v>6</v>
      </c>
      <c r="B29" s="13"/>
      <c r="C29" s="13" t="s">
        <v>75</v>
      </c>
      <c r="D29" s="14" t="s">
        <v>76</v>
      </c>
      <c r="E29" s="15" t="n">
        <v>22</v>
      </c>
      <c r="F29" s="13" t="s">
        <v>20</v>
      </c>
      <c r="G29" s="13"/>
      <c r="H29" s="13"/>
      <c r="I29" s="13"/>
      <c r="J29" s="11"/>
      <c r="K29" s="11"/>
      <c r="L29" s="11"/>
      <c r="M29" s="11"/>
      <c r="N29" s="11"/>
      <c r="O29" s="11"/>
      <c r="P29" s="11"/>
      <c r="Q29" s="11"/>
      <c r="R29" s="11"/>
      <c r="S29" s="11"/>
    </row>
    <row r="30" customFormat="false" ht="19.5" hidden="false" customHeight="true" outlineLevel="0" collapsed="false">
      <c r="A30" s="24"/>
      <c r="B30" s="25" t="s">
        <v>77</v>
      </c>
      <c r="C30" s="25" t="s">
        <v>22</v>
      </c>
      <c r="D30" s="26" t="s">
        <v>78</v>
      </c>
      <c r="E30" s="27" t="n">
        <v>6</v>
      </c>
      <c r="F30" s="28" t="s">
        <v>24</v>
      </c>
      <c r="G30" s="22" t="s">
        <v>24</v>
      </c>
      <c r="H30" s="23" t="s">
        <v>79</v>
      </c>
      <c r="I30" s="25" t="s">
        <v>26</v>
      </c>
      <c r="J30" s="11"/>
      <c r="K30" s="11"/>
      <c r="L30" s="11"/>
      <c r="M30" s="11"/>
      <c r="N30" s="11"/>
      <c r="O30" s="11"/>
      <c r="P30" s="11"/>
      <c r="Q30" s="11"/>
      <c r="R30" s="11"/>
      <c r="S30" s="11"/>
    </row>
    <row r="31" customFormat="false" ht="19.5" hidden="false" customHeight="true" outlineLevel="0" collapsed="false">
      <c r="A31" s="17"/>
      <c r="B31" s="18" t="s">
        <v>77</v>
      </c>
      <c r="C31" s="18" t="s">
        <v>22</v>
      </c>
      <c r="D31" s="19" t="s">
        <v>80</v>
      </c>
      <c r="E31" s="20" t="n">
        <v>6</v>
      </c>
      <c r="F31" s="28" t="s">
        <v>24</v>
      </c>
      <c r="G31" s="22" t="s">
        <v>24</v>
      </c>
      <c r="H31" s="23" t="s">
        <v>81</v>
      </c>
      <c r="I31" s="18" t="s">
        <v>26</v>
      </c>
      <c r="J31" s="11"/>
      <c r="K31" s="11"/>
      <c r="L31" s="11"/>
      <c r="M31" s="11"/>
      <c r="N31" s="11"/>
      <c r="O31" s="11"/>
      <c r="P31" s="11"/>
      <c r="Q31" s="11"/>
      <c r="R31" s="11"/>
      <c r="S31" s="11"/>
    </row>
    <row r="32" customFormat="false" ht="19.5" hidden="false" customHeight="true" outlineLevel="0" collapsed="false">
      <c r="A32" s="24"/>
      <c r="B32" s="25" t="s">
        <v>82</v>
      </c>
      <c r="C32" s="25" t="s">
        <v>30</v>
      </c>
      <c r="D32" s="26" t="s">
        <v>83</v>
      </c>
      <c r="E32" s="27" t="n">
        <v>10</v>
      </c>
      <c r="F32" s="28" t="s">
        <v>24</v>
      </c>
      <c r="G32" s="22" t="s">
        <v>24</v>
      </c>
      <c r="H32" s="23" t="s">
        <v>84</v>
      </c>
      <c r="I32" s="25" t="s">
        <v>26</v>
      </c>
      <c r="J32" s="11"/>
      <c r="K32" s="11"/>
      <c r="L32" s="11"/>
      <c r="M32" s="11"/>
      <c r="N32" s="11"/>
      <c r="O32" s="11"/>
      <c r="P32" s="11"/>
      <c r="Q32" s="11"/>
      <c r="R32" s="11"/>
      <c r="S32" s="11"/>
    </row>
    <row r="33" customFormat="false" ht="21.75" hidden="false" customHeight="true" outlineLevel="0" collapsed="false">
      <c r="A33" s="13" t="n">
        <v>7</v>
      </c>
      <c r="B33" s="13"/>
      <c r="C33" s="13" t="s">
        <v>75</v>
      </c>
      <c r="D33" s="14" t="s">
        <v>85</v>
      </c>
      <c r="E33" s="15" t="n">
        <v>30</v>
      </c>
      <c r="F33" s="13" t="s">
        <v>62</v>
      </c>
      <c r="G33" s="13"/>
      <c r="H33" s="13"/>
      <c r="I33" s="13"/>
      <c r="J33" s="11"/>
      <c r="K33" s="11"/>
      <c r="L33" s="11"/>
      <c r="M33" s="11"/>
      <c r="N33" s="11"/>
      <c r="O33" s="11"/>
      <c r="P33" s="11"/>
      <c r="Q33" s="11"/>
      <c r="R33" s="11"/>
      <c r="S33" s="11"/>
    </row>
    <row r="34" customFormat="false" ht="19.5" hidden="false" customHeight="true" outlineLevel="0" collapsed="false">
      <c r="A34" s="24"/>
      <c r="B34" s="25" t="s">
        <v>86</v>
      </c>
      <c r="C34" s="25" t="s">
        <v>36</v>
      </c>
      <c r="D34" s="26" t="s">
        <v>87</v>
      </c>
      <c r="E34" s="27" t="n">
        <v>6</v>
      </c>
      <c r="F34" s="28" t="s">
        <v>24</v>
      </c>
      <c r="G34" s="22" t="s">
        <v>24</v>
      </c>
      <c r="H34" s="23" t="s">
        <v>88</v>
      </c>
      <c r="I34" s="25" t="s">
        <v>26</v>
      </c>
      <c r="J34" s="11"/>
      <c r="K34" s="11"/>
      <c r="L34" s="11"/>
      <c r="M34" s="11"/>
      <c r="N34" s="11"/>
      <c r="O34" s="11"/>
      <c r="P34" s="11"/>
      <c r="Q34" s="11"/>
      <c r="R34" s="11"/>
      <c r="S34" s="11"/>
    </row>
    <row r="35" customFormat="false" ht="19.5" hidden="false" customHeight="true" outlineLevel="0" collapsed="false">
      <c r="A35" s="17"/>
      <c r="B35" s="18" t="s">
        <v>89</v>
      </c>
      <c r="C35" s="18" t="s">
        <v>40</v>
      </c>
      <c r="D35" s="19" t="s">
        <v>90</v>
      </c>
      <c r="E35" s="20" t="n">
        <v>12</v>
      </c>
      <c r="F35" s="28" t="s">
        <v>24</v>
      </c>
      <c r="G35" s="22" t="s">
        <v>24</v>
      </c>
      <c r="H35" s="23" t="s">
        <v>91</v>
      </c>
      <c r="I35" s="18" t="s">
        <v>26</v>
      </c>
      <c r="J35" s="11"/>
      <c r="K35" s="11"/>
      <c r="L35" s="11"/>
      <c r="M35" s="11"/>
      <c r="N35" s="11"/>
      <c r="O35" s="11"/>
      <c r="P35" s="11"/>
      <c r="Q35" s="11"/>
      <c r="R35" s="11"/>
      <c r="S35" s="11"/>
    </row>
    <row r="36" customFormat="false" ht="19.5" hidden="false" customHeight="true" outlineLevel="0" collapsed="false">
      <c r="A36" s="24"/>
      <c r="B36" s="25" t="s">
        <v>92</v>
      </c>
      <c r="C36" s="25" t="s">
        <v>22</v>
      </c>
      <c r="D36" s="26" t="s">
        <v>93</v>
      </c>
      <c r="E36" s="27" t="n">
        <v>6</v>
      </c>
      <c r="F36" s="28" t="s">
        <v>24</v>
      </c>
      <c r="G36" s="22" t="s">
        <v>24</v>
      </c>
      <c r="H36" s="23" t="s">
        <v>94</v>
      </c>
      <c r="I36" s="25" t="s">
        <v>26</v>
      </c>
      <c r="J36" s="11"/>
      <c r="K36" s="11"/>
      <c r="L36" s="11"/>
      <c r="M36" s="11"/>
      <c r="N36" s="11"/>
      <c r="O36" s="11"/>
      <c r="P36" s="11"/>
      <c r="Q36" s="11"/>
      <c r="R36" s="11"/>
      <c r="S36" s="11"/>
    </row>
    <row r="37" customFormat="false" ht="19.5" hidden="false" customHeight="true" outlineLevel="0" collapsed="false">
      <c r="A37" s="17"/>
      <c r="B37" s="18" t="s">
        <v>95</v>
      </c>
      <c r="C37" s="18" t="s">
        <v>30</v>
      </c>
      <c r="D37" s="19" t="s">
        <v>96</v>
      </c>
      <c r="E37" s="20" t="n">
        <v>6</v>
      </c>
      <c r="F37" s="28" t="s">
        <v>24</v>
      </c>
      <c r="G37" s="22" t="s">
        <v>24</v>
      </c>
      <c r="H37" s="23" t="s">
        <v>97</v>
      </c>
      <c r="I37" s="18" t="s">
        <v>26</v>
      </c>
      <c r="J37" s="11"/>
      <c r="K37" s="11"/>
      <c r="L37" s="11"/>
      <c r="M37" s="11"/>
      <c r="N37" s="11"/>
      <c r="O37" s="11"/>
      <c r="P37" s="11"/>
      <c r="Q37" s="11"/>
      <c r="R37" s="11"/>
      <c r="S37" s="11"/>
    </row>
    <row r="38" customFormat="false" ht="21.75" hidden="false" customHeight="true" outlineLevel="0" collapsed="false">
      <c r="A38" s="13" t="n">
        <v>8</v>
      </c>
      <c r="B38" s="13"/>
      <c r="C38" s="13" t="s">
        <v>98</v>
      </c>
      <c r="D38" s="14" t="s">
        <v>99</v>
      </c>
      <c r="E38" s="15" t="n">
        <v>11</v>
      </c>
      <c r="F38" s="13" t="s">
        <v>34</v>
      </c>
      <c r="G38" s="13"/>
      <c r="H38" s="13"/>
      <c r="I38" s="13"/>
      <c r="J38" s="11"/>
      <c r="K38" s="11"/>
      <c r="L38" s="11"/>
      <c r="M38" s="11"/>
      <c r="N38" s="11"/>
      <c r="O38" s="11"/>
      <c r="P38" s="11"/>
      <c r="Q38" s="11"/>
      <c r="R38" s="11"/>
      <c r="S38" s="11"/>
    </row>
    <row r="39" customFormat="false" ht="19.5" hidden="false" customHeight="true" outlineLevel="0" collapsed="false">
      <c r="A39" s="17"/>
      <c r="B39" s="18" t="s">
        <v>100</v>
      </c>
      <c r="C39" s="18" t="s">
        <v>36</v>
      </c>
      <c r="D39" s="19" t="s">
        <v>101</v>
      </c>
      <c r="E39" s="20" t="n">
        <v>6</v>
      </c>
      <c r="F39" s="28" t="s">
        <v>24</v>
      </c>
      <c r="G39" s="22" t="s">
        <v>24</v>
      </c>
      <c r="H39" s="23" t="s">
        <v>102</v>
      </c>
      <c r="I39" s="18" t="s">
        <v>26</v>
      </c>
      <c r="J39" s="11"/>
      <c r="K39" s="11"/>
      <c r="L39" s="11"/>
      <c r="M39" s="11"/>
      <c r="N39" s="11"/>
      <c r="O39" s="11"/>
      <c r="P39" s="11"/>
      <c r="Q39" s="11"/>
      <c r="R39" s="11"/>
      <c r="S39" s="11"/>
    </row>
    <row r="40" customFormat="false" ht="19.5" hidden="false" customHeight="true" outlineLevel="0" collapsed="false">
      <c r="A40" s="24"/>
      <c r="B40" s="25" t="s">
        <v>100</v>
      </c>
      <c r="C40" s="25" t="s">
        <v>36</v>
      </c>
      <c r="D40" s="26" t="s">
        <v>103</v>
      </c>
      <c r="E40" s="27" t="n">
        <v>5</v>
      </c>
      <c r="F40" s="28" t="s">
        <v>24</v>
      </c>
      <c r="G40" s="22" t="s">
        <v>24</v>
      </c>
      <c r="H40" s="23" t="s">
        <v>102</v>
      </c>
      <c r="I40" s="25" t="s">
        <v>26</v>
      </c>
      <c r="J40" s="11"/>
      <c r="K40" s="11"/>
      <c r="L40" s="11"/>
      <c r="M40" s="11"/>
      <c r="N40" s="11"/>
      <c r="O40" s="11"/>
      <c r="P40" s="11"/>
      <c r="Q40" s="11"/>
      <c r="R40" s="11"/>
      <c r="S40" s="11"/>
    </row>
    <row r="41" customFormat="false" ht="21.75" hidden="false" customHeight="true" outlineLevel="0" collapsed="false">
      <c r="A41" s="13" t="n">
        <v>9</v>
      </c>
      <c r="B41" s="13"/>
      <c r="C41" s="13" t="s">
        <v>98</v>
      </c>
      <c r="D41" s="14" t="s">
        <v>104</v>
      </c>
      <c r="E41" s="15" t="n">
        <v>11</v>
      </c>
      <c r="F41" s="13" t="s">
        <v>34</v>
      </c>
      <c r="G41" s="13"/>
      <c r="H41" s="13"/>
      <c r="I41" s="13"/>
      <c r="J41" s="11"/>
      <c r="K41" s="11"/>
      <c r="L41" s="11"/>
      <c r="M41" s="11"/>
      <c r="N41" s="11"/>
      <c r="O41" s="11"/>
      <c r="P41" s="11"/>
      <c r="Q41" s="11"/>
      <c r="R41" s="11"/>
      <c r="S41" s="11"/>
    </row>
    <row r="42" customFormat="false" ht="19.5" hidden="false" customHeight="true" outlineLevel="0" collapsed="false">
      <c r="A42" s="24"/>
      <c r="B42" s="25" t="s">
        <v>105</v>
      </c>
      <c r="C42" s="25" t="s">
        <v>40</v>
      </c>
      <c r="D42" s="26" t="s">
        <v>106</v>
      </c>
      <c r="E42" s="27" t="n">
        <v>5</v>
      </c>
      <c r="F42" s="28" t="s">
        <v>24</v>
      </c>
      <c r="G42" s="22" t="s">
        <v>24</v>
      </c>
      <c r="H42" s="23" t="s">
        <v>107</v>
      </c>
      <c r="I42" s="25" t="s">
        <v>26</v>
      </c>
      <c r="J42" s="11"/>
      <c r="K42" s="11"/>
      <c r="L42" s="11"/>
      <c r="M42" s="11"/>
      <c r="N42" s="11"/>
      <c r="O42" s="11"/>
      <c r="P42" s="11"/>
      <c r="Q42" s="11"/>
      <c r="R42" s="11"/>
      <c r="S42" s="11"/>
    </row>
    <row r="43" customFormat="false" ht="19.5" hidden="false" customHeight="true" outlineLevel="0" collapsed="false">
      <c r="A43" s="17"/>
      <c r="B43" s="18" t="s">
        <v>105</v>
      </c>
      <c r="C43" s="18" t="s">
        <v>40</v>
      </c>
      <c r="D43" s="19" t="s">
        <v>108</v>
      </c>
      <c r="E43" s="20" t="n">
        <v>6</v>
      </c>
      <c r="F43" s="28" t="s">
        <v>24</v>
      </c>
      <c r="G43" s="22" t="s">
        <v>24</v>
      </c>
      <c r="H43" s="23" t="s">
        <v>109</v>
      </c>
      <c r="I43" s="18" t="s">
        <v>26</v>
      </c>
      <c r="J43" s="11"/>
      <c r="K43" s="11"/>
      <c r="L43" s="11"/>
      <c r="M43" s="11"/>
      <c r="N43" s="11"/>
      <c r="O43" s="11"/>
      <c r="P43" s="11"/>
      <c r="Q43" s="11"/>
      <c r="R43" s="11"/>
      <c r="S43" s="11"/>
    </row>
    <row r="44" customFormat="false" ht="21.75" hidden="false" customHeight="true" outlineLevel="0" collapsed="false">
      <c r="A44" s="13" t="n">
        <v>10</v>
      </c>
      <c r="B44" s="13"/>
      <c r="C44" s="13" t="s">
        <v>110</v>
      </c>
      <c r="D44" s="14" t="s">
        <v>111</v>
      </c>
      <c r="E44" s="15" t="n">
        <v>12</v>
      </c>
      <c r="F44" s="13" t="s">
        <v>34</v>
      </c>
      <c r="G44" s="13"/>
      <c r="H44" s="13"/>
      <c r="I44" s="13"/>
      <c r="J44" s="11"/>
      <c r="K44" s="11"/>
      <c r="L44" s="11"/>
      <c r="M44" s="11"/>
      <c r="N44" s="11"/>
      <c r="O44" s="11"/>
      <c r="P44" s="11"/>
      <c r="Q44" s="11"/>
      <c r="R44" s="11"/>
      <c r="S44" s="11"/>
    </row>
    <row r="45" customFormat="false" ht="19.5" hidden="false" customHeight="true" outlineLevel="0" collapsed="false">
      <c r="A45" s="17"/>
      <c r="B45" s="18" t="s">
        <v>112</v>
      </c>
      <c r="C45" s="18" t="s">
        <v>22</v>
      </c>
      <c r="D45" s="19" t="s">
        <v>113</v>
      </c>
      <c r="E45" s="20" t="n">
        <v>6</v>
      </c>
      <c r="F45" s="28" t="s">
        <v>24</v>
      </c>
      <c r="G45" s="22" t="s">
        <v>24</v>
      </c>
      <c r="H45" s="23" t="s">
        <v>114</v>
      </c>
      <c r="I45" s="18" t="s">
        <v>26</v>
      </c>
      <c r="J45" s="11"/>
      <c r="K45" s="11"/>
      <c r="L45" s="11"/>
      <c r="M45" s="11"/>
      <c r="N45" s="11"/>
      <c r="O45" s="11"/>
      <c r="P45" s="11"/>
      <c r="Q45" s="11"/>
      <c r="R45" s="11"/>
      <c r="S45" s="11"/>
    </row>
    <row r="46" customFormat="false" ht="19.5" hidden="false" customHeight="true" outlineLevel="0" collapsed="false">
      <c r="A46" s="24"/>
      <c r="B46" s="25" t="s">
        <v>112</v>
      </c>
      <c r="C46" s="25" t="s">
        <v>22</v>
      </c>
      <c r="D46" s="26" t="s">
        <v>115</v>
      </c>
      <c r="E46" s="27" t="n">
        <v>6</v>
      </c>
      <c r="F46" s="28" t="s">
        <v>24</v>
      </c>
      <c r="G46" s="22" t="s">
        <v>24</v>
      </c>
      <c r="H46" s="23" t="s">
        <v>116</v>
      </c>
      <c r="I46" s="25" t="s">
        <v>26</v>
      </c>
      <c r="J46" s="11"/>
      <c r="K46" s="11"/>
      <c r="L46" s="11"/>
      <c r="M46" s="11"/>
      <c r="N46" s="11"/>
      <c r="O46" s="11"/>
      <c r="P46" s="11"/>
      <c r="Q46" s="11"/>
      <c r="R46" s="11"/>
      <c r="S46" s="11"/>
    </row>
    <row r="47" customFormat="false" ht="21.75" hidden="false" customHeight="true" outlineLevel="0" collapsed="false">
      <c r="A47" s="13" t="n">
        <v>11</v>
      </c>
      <c r="B47" s="13"/>
      <c r="C47" s="13" t="s">
        <v>110</v>
      </c>
      <c r="D47" s="14" t="s">
        <v>117</v>
      </c>
      <c r="E47" s="15" t="n">
        <v>25</v>
      </c>
      <c r="F47" s="13" t="s">
        <v>20</v>
      </c>
      <c r="G47" s="13"/>
      <c r="H47" s="13"/>
      <c r="I47" s="13"/>
      <c r="J47" s="11"/>
      <c r="K47" s="11"/>
      <c r="L47" s="11"/>
      <c r="M47" s="11"/>
      <c r="N47" s="11"/>
      <c r="O47" s="11"/>
      <c r="P47" s="11"/>
      <c r="Q47" s="11"/>
      <c r="R47" s="11"/>
      <c r="S47" s="11"/>
    </row>
    <row r="48" customFormat="false" ht="19.5" hidden="false" customHeight="true" outlineLevel="0" collapsed="false">
      <c r="A48" s="24"/>
      <c r="B48" s="25" t="s">
        <v>118</v>
      </c>
      <c r="C48" s="25" t="s">
        <v>30</v>
      </c>
      <c r="D48" s="26" t="s">
        <v>119</v>
      </c>
      <c r="E48" s="27" t="n">
        <v>12</v>
      </c>
      <c r="F48" s="28" t="s">
        <v>24</v>
      </c>
      <c r="G48" s="22" t="s">
        <v>24</v>
      </c>
      <c r="H48" s="23" t="s">
        <v>120</v>
      </c>
      <c r="I48" s="25" t="s">
        <v>26</v>
      </c>
      <c r="J48" s="11"/>
      <c r="K48" s="11"/>
      <c r="L48" s="11"/>
      <c r="M48" s="11"/>
      <c r="N48" s="11"/>
      <c r="O48" s="11"/>
      <c r="P48" s="11"/>
      <c r="Q48" s="11"/>
      <c r="R48" s="11"/>
      <c r="S48" s="11"/>
    </row>
    <row r="49" customFormat="false" ht="19.5" hidden="false" customHeight="true" outlineLevel="0" collapsed="false">
      <c r="A49" s="17"/>
      <c r="B49" s="18" t="s">
        <v>121</v>
      </c>
      <c r="C49" s="18" t="s">
        <v>36</v>
      </c>
      <c r="D49" s="19" t="s">
        <v>122</v>
      </c>
      <c r="E49" s="20" t="n">
        <v>8</v>
      </c>
      <c r="F49" s="28" t="s">
        <v>24</v>
      </c>
      <c r="G49" s="22" t="s">
        <v>24</v>
      </c>
      <c r="H49" s="23" t="s">
        <v>123</v>
      </c>
      <c r="I49" s="18" t="s">
        <v>26</v>
      </c>
      <c r="J49" s="11"/>
      <c r="K49" s="11"/>
      <c r="L49" s="11"/>
      <c r="M49" s="11"/>
      <c r="N49" s="11"/>
      <c r="O49" s="11"/>
      <c r="P49" s="11"/>
      <c r="Q49" s="11"/>
      <c r="R49" s="11"/>
      <c r="S49" s="11"/>
    </row>
    <row r="50" customFormat="false" ht="19.5" hidden="false" customHeight="true" outlineLevel="0" collapsed="false">
      <c r="A50" s="24"/>
      <c r="B50" s="25" t="s">
        <v>124</v>
      </c>
      <c r="C50" s="25" t="s">
        <v>40</v>
      </c>
      <c r="D50" s="26" t="s">
        <v>125</v>
      </c>
      <c r="E50" s="27" t="n">
        <v>5</v>
      </c>
      <c r="F50" s="28" t="s">
        <v>24</v>
      </c>
      <c r="G50" s="22" t="s">
        <v>24</v>
      </c>
      <c r="H50" s="23" t="s">
        <v>126</v>
      </c>
      <c r="I50" s="25" t="s">
        <v>26</v>
      </c>
      <c r="J50" s="11"/>
      <c r="K50" s="11"/>
      <c r="L50" s="11"/>
      <c r="M50" s="11"/>
      <c r="N50" s="11"/>
      <c r="O50" s="11"/>
      <c r="P50" s="11"/>
      <c r="Q50" s="11"/>
      <c r="R50" s="11"/>
      <c r="S50" s="11"/>
    </row>
    <row r="51" customFormat="false" ht="21.75" hidden="false" customHeight="true" outlineLevel="0" collapsed="false">
      <c r="A51" s="13" t="n">
        <v>12</v>
      </c>
      <c r="B51" s="13"/>
      <c r="C51" s="13" t="s">
        <v>127</v>
      </c>
      <c r="D51" s="14" t="s">
        <v>128</v>
      </c>
      <c r="E51" s="15" t="n">
        <v>17</v>
      </c>
      <c r="F51" s="13" t="s">
        <v>34</v>
      </c>
      <c r="G51" s="13"/>
      <c r="H51" s="13"/>
      <c r="I51" s="13"/>
      <c r="J51" s="11"/>
      <c r="K51" s="11"/>
      <c r="L51" s="11"/>
      <c r="M51" s="11"/>
      <c r="N51" s="11"/>
      <c r="O51" s="11"/>
      <c r="P51" s="11"/>
      <c r="Q51" s="11"/>
      <c r="R51" s="11"/>
      <c r="S51" s="11"/>
    </row>
    <row r="52" customFormat="false" ht="19.5" hidden="false" customHeight="true" outlineLevel="0" collapsed="false">
      <c r="A52" s="24"/>
      <c r="B52" s="25" t="s">
        <v>129</v>
      </c>
      <c r="C52" s="25" t="s">
        <v>22</v>
      </c>
      <c r="D52" s="26" t="s">
        <v>130</v>
      </c>
      <c r="E52" s="27" t="n">
        <v>5</v>
      </c>
      <c r="F52" s="28" t="s">
        <v>24</v>
      </c>
      <c r="G52" s="22" t="s">
        <v>24</v>
      </c>
      <c r="H52" s="23" t="s">
        <v>131</v>
      </c>
      <c r="I52" s="25" t="s">
        <v>26</v>
      </c>
      <c r="J52" s="11"/>
      <c r="K52" s="11"/>
      <c r="L52" s="11"/>
      <c r="M52" s="11"/>
      <c r="N52" s="11"/>
      <c r="O52" s="11"/>
      <c r="P52" s="11"/>
      <c r="Q52" s="11"/>
      <c r="R52" s="11"/>
      <c r="S52" s="11"/>
    </row>
    <row r="53" customFormat="false" ht="19.5" hidden="false" customHeight="true" outlineLevel="0" collapsed="false">
      <c r="A53" s="17"/>
      <c r="B53" s="18" t="s">
        <v>132</v>
      </c>
      <c r="C53" s="18" t="s">
        <v>30</v>
      </c>
      <c r="D53" s="19" t="s">
        <v>133</v>
      </c>
      <c r="E53" s="20" t="n">
        <v>12</v>
      </c>
      <c r="F53" s="28" t="s">
        <v>24</v>
      </c>
      <c r="G53" s="22" t="s">
        <v>24</v>
      </c>
      <c r="H53" s="23" t="s">
        <v>134</v>
      </c>
      <c r="I53" s="18" t="s">
        <v>26</v>
      </c>
      <c r="J53" s="11"/>
      <c r="K53" s="11"/>
      <c r="L53" s="11"/>
      <c r="M53" s="11"/>
      <c r="N53" s="11"/>
      <c r="O53" s="11"/>
      <c r="P53" s="11"/>
      <c r="Q53" s="11"/>
      <c r="R53" s="11"/>
      <c r="S53" s="11"/>
    </row>
    <row r="54" customFormat="false" ht="21.75" hidden="false" customHeight="true" outlineLevel="0" collapsed="false">
      <c r="A54" s="13" t="n">
        <v>13</v>
      </c>
      <c r="B54" s="13"/>
      <c r="C54" s="13" t="s">
        <v>127</v>
      </c>
      <c r="D54" s="14" t="s">
        <v>135</v>
      </c>
      <c r="E54" s="15" t="n">
        <v>18</v>
      </c>
      <c r="F54" s="13" t="s">
        <v>34</v>
      </c>
      <c r="G54" s="13"/>
      <c r="H54" s="13"/>
      <c r="I54" s="13"/>
      <c r="J54" s="11"/>
      <c r="K54" s="11"/>
      <c r="L54" s="11"/>
      <c r="M54" s="11"/>
      <c r="N54" s="11"/>
      <c r="O54" s="11"/>
      <c r="P54" s="11"/>
      <c r="Q54" s="11"/>
      <c r="R54" s="11"/>
      <c r="S54" s="11"/>
    </row>
    <row r="55" customFormat="false" ht="19.5" hidden="false" customHeight="true" outlineLevel="0" collapsed="false">
      <c r="A55" s="17"/>
      <c r="B55" s="18" t="s">
        <v>136</v>
      </c>
      <c r="C55" s="18" t="s">
        <v>36</v>
      </c>
      <c r="D55" s="19" t="s">
        <v>137</v>
      </c>
      <c r="E55" s="20" t="n">
        <v>6</v>
      </c>
      <c r="F55" s="28" t="s">
        <v>24</v>
      </c>
      <c r="G55" s="22" t="s">
        <v>24</v>
      </c>
      <c r="H55" s="23" t="s">
        <v>138</v>
      </c>
      <c r="I55" s="18" t="s">
        <v>26</v>
      </c>
      <c r="J55" s="11"/>
      <c r="K55" s="11"/>
      <c r="L55" s="11"/>
      <c r="M55" s="11"/>
      <c r="N55" s="11"/>
      <c r="O55" s="11"/>
      <c r="P55" s="11"/>
      <c r="Q55" s="11"/>
      <c r="R55" s="11"/>
      <c r="S55" s="11"/>
    </row>
    <row r="56" customFormat="false" ht="19.5" hidden="false" customHeight="true" outlineLevel="0" collapsed="false">
      <c r="A56" s="24"/>
      <c r="B56" s="25" t="s">
        <v>136</v>
      </c>
      <c r="C56" s="25" t="s">
        <v>36</v>
      </c>
      <c r="D56" s="26" t="s">
        <v>139</v>
      </c>
      <c r="E56" s="27" t="n">
        <v>12</v>
      </c>
      <c r="F56" s="28" t="s">
        <v>24</v>
      </c>
      <c r="G56" s="22" t="s">
        <v>24</v>
      </c>
      <c r="H56" s="23" t="s">
        <v>140</v>
      </c>
      <c r="I56" s="25" t="s">
        <v>26</v>
      </c>
      <c r="J56" s="11"/>
      <c r="K56" s="11"/>
      <c r="L56" s="11"/>
      <c r="M56" s="11"/>
      <c r="N56" s="11"/>
      <c r="O56" s="11"/>
      <c r="P56" s="11"/>
      <c r="Q56" s="11"/>
      <c r="R56" s="11"/>
      <c r="S56" s="11"/>
    </row>
    <row r="57" customFormat="false" ht="21.75" hidden="false" customHeight="true" outlineLevel="0" collapsed="false">
      <c r="A57" s="13" t="n">
        <v>14</v>
      </c>
      <c r="B57" s="13"/>
      <c r="C57" s="13" t="s">
        <v>127</v>
      </c>
      <c r="D57" s="14" t="s">
        <v>141</v>
      </c>
      <c r="E57" s="15" t="n">
        <v>12</v>
      </c>
      <c r="F57" s="13" t="s">
        <v>34</v>
      </c>
      <c r="G57" s="13"/>
      <c r="H57" s="13"/>
      <c r="I57" s="13"/>
      <c r="J57" s="11"/>
      <c r="K57" s="11"/>
      <c r="L57" s="11"/>
      <c r="M57" s="11"/>
      <c r="N57" s="11"/>
      <c r="O57" s="11"/>
      <c r="P57" s="11"/>
      <c r="Q57" s="11"/>
      <c r="R57" s="11"/>
      <c r="S57" s="11"/>
    </row>
    <row r="58" customFormat="false" ht="19.5" hidden="false" customHeight="true" outlineLevel="0" collapsed="false">
      <c r="A58" s="24"/>
      <c r="B58" s="25" t="s">
        <v>142</v>
      </c>
      <c r="C58" s="25" t="s">
        <v>40</v>
      </c>
      <c r="D58" s="26" t="s">
        <v>143</v>
      </c>
      <c r="E58" s="27" t="n">
        <v>6</v>
      </c>
      <c r="F58" s="28" t="s">
        <v>24</v>
      </c>
      <c r="G58" s="22" t="s">
        <v>24</v>
      </c>
      <c r="H58" s="23" t="s">
        <v>144</v>
      </c>
      <c r="I58" s="25" t="s">
        <v>26</v>
      </c>
      <c r="J58" s="11"/>
      <c r="K58" s="11"/>
      <c r="L58" s="11"/>
      <c r="M58" s="11"/>
      <c r="N58" s="11"/>
      <c r="O58" s="11"/>
      <c r="P58" s="11"/>
      <c r="Q58" s="11"/>
      <c r="R58" s="11"/>
      <c r="S58" s="11"/>
    </row>
    <row r="59" customFormat="false" ht="19.5" hidden="false" customHeight="true" outlineLevel="0" collapsed="false">
      <c r="A59" s="17"/>
      <c r="B59" s="18" t="s">
        <v>142</v>
      </c>
      <c r="C59" s="18" t="s">
        <v>40</v>
      </c>
      <c r="D59" s="19" t="s">
        <v>145</v>
      </c>
      <c r="E59" s="20" t="n">
        <v>6</v>
      </c>
      <c r="F59" s="28" t="s">
        <v>24</v>
      </c>
      <c r="G59" s="22" t="s">
        <v>24</v>
      </c>
      <c r="H59" s="23" t="s">
        <v>146</v>
      </c>
      <c r="I59" s="18" t="s">
        <v>26</v>
      </c>
      <c r="J59" s="11"/>
      <c r="K59" s="11"/>
      <c r="L59" s="11"/>
      <c r="M59" s="11"/>
      <c r="N59" s="11"/>
      <c r="O59" s="11"/>
      <c r="P59" s="11"/>
      <c r="Q59" s="11"/>
      <c r="R59" s="11"/>
      <c r="S59" s="11"/>
    </row>
    <row r="60" customFormat="false" ht="21.75" hidden="false" customHeight="true" outlineLevel="0" collapsed="false">
      <c r="A60" s="13" t="n">
        <v>15</v>
      </c>
      <c r="B60" s="13"/>
      <c r="C60" s="13" t="s">
        <v>147</v>
      </c>
      <c r="D60" s="14" t="s">
        <v>148</v>
      </c>
      <c r="E60" s="15" t="n">
        <v>24</v>
      </c>
      <c r="F60" s="13" t="s">
        <v>20</v>
      </c>
      <c r="G60" s="13"/>
      <c r="H60" s="13"/>
      <c r="I60" s="13"/>
      <c r="J60" s="11"/>
      <c r="K60" s="11"/>
      <c r="L60" s="11"/>
      <c r="M60" s="11"/>
      <c r="N60" s="11"/>
      <c r="O60" s="11"/>
      <c r="P60" s="11"/>
      <c r="Q60" s="11"/>
      <c r="R60" s="11"/>
      <c r="S60" s="11"/>
    </row>
    <row r="61" customFormat="false" ht="19.5" hidden="false" customHeight="true" outlineLevel="0" collapsed="false">
      <c r="A61" s="17"/>
      <c r="B61" s="18" t="s">
        <v>149</v>
      </c>
      <c r="C61" s="18" t="s">
        <v>22</v>
      </c>
      <c r="D61" s="19" t="s">
        <v>150</v>
      </c>
      <c r="E61" s="20" t="n">
        <v>6</v>
      </c>
      <c r="F61" s="28" t="s">
        <v>24</v>
      </c>
      <c r="G61" s="22" t="s">
        <v>24</v>
      </c>
      <c r="H61" s="23" t="s">
        <v>151</v>
      </c>
      <c r="I61" s="18" t="s">
        <v>26</v>
      </c>
      <c r="J61" s="11"/>
      <c r="K61" s="11"/>
      <c r="L61" s="11"/>
      <c r="M61" s="11"/>
      <c r="N61" s="11"/>
      <c r="O61" s="11"/>
      <c r="P61" s="11"/>
      <c r="Q61" s="11"/>
      <c r="R61" s="11"/>
      <c r="S61" s="11"/>
    </row>
    <row r="62" customFormat="false" ht="19.5" hidden="false" customHeight="true" outlineLevel="0" collapsed="false">
      <c r="A62" s="24"/>
      <c r="B62" s="25" t="s">
        <v>152</v>
      </c>
      <c r="C62" s="25" t="s">
        <v>30</v>
      </c>
      <c r="D62" s="26" t="s">
        <v>153</v>
      </c>
      <c r="E62" s="27" t="n">
        <v>12</v>
      </c>
      <c r="F62" s="28" t="s">
        <v>24</v>
      </c>
      <c r="G62" s="22" t="s">
        <v>24</v>
      </c>
      <c r="H62" s="23" t="s">
        <v>154</v>
      </c>
      <c r="I62" s="25" t="s">
        <v>26</v>
      </c>
      <c r="J62" s="11"/>
      <c r="K62" s="11"/>
      <c r="L62" s="11"/>
      <c r="M62" s="11"/>
      <c r="N62" s="11"/>
      <c r="O62" s="11"/>
      <c r="P62" s="11"/>
      <c r="Q62" s="11"/>
      <c r="R62" s="11"/>
      <c r="S62" s="11"/>
    </row>
    <row r="63" customFormat="false" ht="19.5" hidden="false" customHeight="true" outlineLevel="0" collapsed="false">
      <c r="A63" s="17"/>
      <c r="B63" s="18" t="s">
        <v>155</v>
      </c>
      <c r="C63" s="18" t="s">
        <v>36</v>
      </c>
      <c r="D63" s="19" t="s">
        <v>156</v>
      </c>
      <c r="E63" s="20" t="n">
        <v>6</v>
      </c>
      <c r="F63" s="28" t="s">
        <v>24</v>
      </c>
      <c r="G63" s="22" t="s">
        <v>24</v>
      </c>
      <c r="H63" s="23" t="s">
        <v>157</v>
      </c>
      <c r="I63" s="18" t="s">
        <v>26</v>
      </c>
      <c r="J63" s="11"/>
      <c r="K63" s="11"/>
      <c r="L63" s="11"/>
      <c r="M63" s="11"/>
      <c r="N63" s="11"/>
      <c r="O63" s="11"/>
      <c r="P63" s="11"/>
      <c r="Q63" s="11"/>
      <c r="R63" s="11"/>
      <c r="S63" s="11"/>
    </row>
    <row r="64" customFormat="false" ht="21.75" hidden="false" customHeight="true" outlineLevel="0" collapsed="false">
      <c r="A64" s="13" t="n">
        <v>16</v>
      </c>
      <c r="B64" s="13"/>
      <c r="C64" s="13" t="s">
        <v>147</v>
      </c>
      <c r="D64" s="14" t="s">
        <v>158</v>
      </c>
      <c r="E64" s="15" t="n">
        <v>19</v>
      </c>
      <c r="F64" s="13" t="s">
        <v>20</v>
      </c>
      <c r="G64" s="13"/>
      <c r="H64" s="13"/>
      <c r="I64" s="13"/>
      <c r="J64" s="11"/>
      <c r="K64" s="11"/>
      <c r="L64" s="11"/>
      <c r="M64" s="11"/>
      <c r="N64" s="11"/>
      <c r="O64" s="11"/>
      <c r="P64" s="11"/>
      <c r="Q64" s="11"/>
      <c r="R64" s="11"/>
      <c r="S64" s="11"/>
    </row>
    <row r="65" customFormat="false" ht="19.5" hidden="false" customHeight="true" outlineLevel="0" collapsed="false">
      <c r="A65" s="17"/>
      <c r="B65" s="18" t="s">
        <v>155</v>
      </c>
      <c r="C65" s="18" t="s">
        <v>36</v>
      </c>
      <c r="D65" s="19" t="s">
        <v>159</v>
      </c>
      <c r="E65" s="20" t="n">
        <v>6</v>
      </c>
      <c r="F65" s="28" t="s">
        <v>24</v>
      </c>
      <c r="G65" s="22" t="s">
        <v>24</v>
      </c>
      <c r="H65" s="23" t="s">
        <v>160</v>
      </c>
      <c r="I65" s="18" t="s">
        <v>26</v>
      </c>
      <c r="J65" s="11"/>
      <c r="K65" s="11"/>
      <c r="L65" s="11"/>
      <c r="M65" s="11"/>
      <c r="N65" s="11"/>
      <c r="O65" s="11"/>
      <c r="P65" s="11"/>
      <c r="Q65" s="11"/>
      <c r="R65" s="11"/>
      <c r="S65" s="11"/>
    </row>
    <row r="66" customFormat="false" ht="19.5" hidden="false" customHeight="true" outlineLevel="0" collapsed="false">
      <c r="A66" s="24"/>
      <c r="B66" s="25" t="s">
        <v>161</v>
      </c>
      <c r="C66" s="25" t="s">
        <v>40</v>
      </c>
      <c r="D66" s="26" t="s">
        <v>162</v>
      </c>
      <c r="E66" s="27" t="n">
        <v>6</v>
      </c>
      <c r="F66" s="28" t="s">
        <v>24</v>
      </c>
      <c r="G66" s="22" t="s">
        <v>24</v>
      </c>
      <c r="H66" s="23" t="s">
        <v>163</v>
      </c>
      <c r="I66" s="25" t="s">
        <v>26</v>
      </c>
      <c r="J66" s="11"/>
      <c r="K66" s="11"/>
      <c r="L66" s="11"/>
      <c r="M66" s="11"/>
      <c r="N66" s="11"/>
      <c r="O66" s="11"/>
      <c r="P66" s="11"/>
      <c r="Q66" s="11"/>
      <c r="R66" s="11"/>
      <c r="S66" s="11"/>
    </row>
    <row r="67" customFormat="false" ht="19.5" hidden="false" customHeight="true" outlineLevel="0" collapsed="false">
      <c r="A67" s="17"/>
      <c r="B67" s="18" t="s">
        <v>161</v>
      </c>
      <c r="C67" s="18" t="s">
        <v>40</v>
      </c>
      <c r="D67" s="19" t="s">
        <v>164</v>
      </c>
      <c r="E67" s="20" t="n">
        <v>7</v>
      </c>
      <c r="F67" s="28" t="s">
        <v>24</v>
      </c>
      <c r="G67" s="22" t="s">
        <v>24</v>
      </c>
      <c r="H67" s="23" t="s">
        <v>165</v>
      </c>
      <c r="I67" s="18" t="s">
        <v>26</v>
      </c>
      <c r="J67" s="11"/>
      <c r="K67" s="11"/>
      <c r="L67" s="11"/>
      <c r="M67" s="11"/>
      <c r="N67" s="11"/>
      <c r="O67" s="11"/>
      <c r="P67" s="11"/>
      <c r="Q67" s="11"/>
      <c r="R67" s="11"/>
      <c r="S67" s="11"/>
    </row>
    <row r="68" customFormat="false" ht="15" hidden="false" customHeight="false" outlineLevel="0" collapsed="false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</row>
    <row r="69" customFormat="false" ht="15" hidden="false" customHeight="false" outlineLevel="0" collapsed="false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</row>
    <row r="70" customFormat="false" ht="15" hidden="false" customHeight="false" outlineLevel="0" collapsed="false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</row>
    <row r="71" customFormat="false" ht="15" hidden="false" customHeight="false" outlineLevel="0" collapsed="false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</row>
  </sheetData>
  <mergeCells count="4">
    <mergeCell ref="A1:F1"/>
    <mergeCell ref="A2:F2"/>
    <mergeCell ref="A3:F3"/>
    <mergeCell ref="A8:I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26"/>
    <col collapsed="false" customWidth="true" hidden="false" outlineLevel="0" max="3" min="3" style="1" width="22"/>
    <col collapsed="false" customWidth="true" hidden="false" outlineLevel="0" max="4" min="4" style="1" width="34"/>
    <col collapsed="false" customWidth="true" hidden="false" outlineLevel="0" max="5" min="5" style="1" width="44"/>
    <col collapsed="false" customWidth="true" hidden="false" outlineLevel="0" max="6" min="6" style="1" width="28"/>
    <col collapsed="false" customWidth="true" hidden="false" outlineLevel="0" max="7" min="7" style="1" width="7"/>
    <col collapsed="false" customWidth="true" hidden="false" outlineLevel="0" max="8" min="8" style="1" width="12"/>
    <col collapsed="false" customWidth="true" hidden="false" outlineLevel="0" max="9" min="9" style="1" width="8"/>
    <col collapsed="false" customWidth="true" hidden="false" outlineLevel="0" max="11" min="10" style="1" width="7"/>
    <col collapsed="false" customWidth="true" hidden="false" outlineLevel="0" max="13" min="12" style="1" width="36"/>
    <col collapsed="false" customWidth="true" hidden="false" outlineLevel="0" max="14" min="14" style="1" width="30"/>
  </cols>
  <sheetData>
    <row r="1" customFormat="false" ht="1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customFormat="false" ht="30" hidden="false" customHeight="true" outlineLevel="0" collapsed="false">
      <c r="A2" s="3" t="s">
        <v>166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customFormat="false" ht="31.5" hidden="false" customHeight="true" outlineLevel="0" collapsed="false">
      <c r="A3" s="4" t="s">
        <v>167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</row>
    <row r="5" customFormat="false" ht="30" hidden="false" customHeight="true" outlineLevel="0" collapsed="false">
      <c r="A5" s="29" t="s">
        <v>168</v>
      </c>
      <c r="B5" s="29" t="s">
        <v>169</v>
      </c>
      <c r="C5" s="29" t="s">
        <v>170</v>
      </c>
      <c r="D5" s="29" t="s">
        <v>171</v>
      </c>
      <c r="E5" s="29" t="s">
        <v>172</v>
      </c>
      <c r="F5" s="29" t="s">
        <v>173</v>
      </c>
      <c r="G5" s="29" t="s">
        <v>13</v>
      </c>
      <c r="H5" s="29" t="s">
        <v>174</v>
      </c>
      <c r="I5" s="29" t="s">
        <v>175</v>
      </c>
      <c r="J5" s="29" t="s">
        <v>176</v>
      </c>
      <c r="K5" s="29" t="s">
        <v>10</v>
      </c>
      <c r="L5" s="29" t="s">
        <v>177</v>
      </c>
      <c r="M5" s="29" t="s">
        <v>178</v>
      </c>
      <c r="N5" s="29" t="s">
        <v>16</v>
      </c>
      <c r="O5" s="29" t="s">
        <v>17</v>
      </c>
    </row>
    <row r="6" customFormat="false" ht="39.75" hidden="false" customHeight="true" outlineLevel="0" collapsed="false">
      <c r="A6" s="30" t="n">
        <v>1</v>
      </c>
      <c r="B6" s="31" t="s">
        <v>179</v>
      </c>
      <c r="C6" s="32" t="s">
        <v>180</v>
      </c>
      <c r="D6" s="33" t="s">
        <v>23</v>
      </c>
      <c r="E6" s="31" t="s">
        <v>181</v>
      </c>
      <c r="F6" s="32" t="s">
        <v>182</v>
      </c>
      <c r="G6" s="30" t="n">
        <v>7</v>
      </c>
      <c r="H6" s="30" t="s">
        <v>183</v>
      </c>
      <c r="I6" s="30" t="n">
        <v>1</v>
      </c>
      <c r="J6" s="30" t="n">
        <v>1</v>
      </c>
      <c r="K6" s="30" t="s">
        <v>22</v>
      </c>
      <c r="L6" s="34"/>
      <c r="M6" s="35"/>
      <c r="N6" s="36" t="s">
        <v>25</v>
      </c>
      <c r="O6" s="30" t="s">
        <v>26</v>
      </c>
    </row>
    <row r="7" customFormat="false" ht="39.75" hidden="false" customHeight="true" outlineLevel="0" collapsed="false">
      <c r="A7" s="20" t="n">
        <v>1</v>
      </c>
      <c r="B7" s="37" t="s">
        <v>179</v>
      </c>
      <c r="C7" s="38" t="s">
        <v>184</v>
      </c>
      <c r="D7" s="39" t="s">
        <v>27</v>
      </c>
      <c r="E7" s="37" t="s">
        <v>185</v>
      </c>
      <c r="F7" s="38" t="s">
        <v>186</v>
      </c>
      <c r="G7" s="20" t="n">
        <v>7</v>
      </c>
      <c r="H7" s="20" t="s">
        <v>183</v>
      </c>
      <c r="I7" s="20" t="n">
        <v>1</v>
      </c>
      <c r="J7" s="20" t="n">
        <v>1</v>
      </c>
      <c r="K7" s="20" t="s">
        <v>22</v>
      </c>
      <c r="L7" s="40"/>
      <c r="M7" s="41"/>
      <c r="N7" s="36" t="s">
        <v>28</v>
      </c>
      <c r="O7" s="20" t="s">
        <v>26</v>
      </c>
    </row>
    <row r="8" customFormat="false" ht="39.75" hidden="false" customHeight="true" outlineLevel="0" collapsed="false">
      <c r="A8" s="20" t="n">
        <v>1</v>
      </c>
      <c r="B8" s="37" t="s">
        <v>179</v>
      </c>
      <c r="C8" s="38" t="s">
        <v>187</v>
      </c>
      <c r="D8" s="39" t="s">
        <v>31</v>
      </c>
      <c r="E8" s="37" t="s">
        <v>188</v>
      </c>
      <c r="F8" s="38" t="s">
        <v>189</v>
      </c>
      <c r="G8" s="20" t="n">
        <v>8</v>
      </c>
      <c r="H8" s="20" t="s">
        <v>190</v>
      </c>
      <c r="I8" s="20" t="n">
        <v>2</v>
      </c>
      <c r="J8" s="20" t="n">
        <v>1</v>
      </c>
      <c r="K8" s="20" t="s">
        <v>30</v>
      </c>
      <c r="L8" s="40"/>
      <c r="M8" s="41"/>
      <c r="N8" s="36" t="s">
        <v>32</v>
      </c>
      <c r="O8" s="20" t="s">
        <v>26</v>
      </c>
    </row>
    <row r="9" customFormat="false" ht="39.75" hidden="false" customHeight="true" outlineLevel="0" collapsed="false">
      <c r="A9" s="42" t="n">
        <v>2</v>
      </c>
      <c r="B9" s="43" t="s">
        <v>191</v>
      </c>
      <c r="C9" s="44" t="s">
        <v>192</v>
      </c>
      <c r="D9" s="45" t="s">
        <v>37</v>
      </c>
      <c r="E9" s="43" t="s">
        <v>193</v>
      </c>
      <c r="F9" s="44" t="s">
        <v>194</v>
      </c>
      <c r="G9" s="42" t="n">
        <v>7</v>
      </c>
      <c r="H9" s="42" t="s">
        <v>183</v>
      </c>
      <c r="I9" s="42" t="n">
        <v>3</v>
      </c>
      <c r="J9" s="42" t="n">
        <v>1</v>
      </c>
      <c r="K9" s="42" t="s">
        <v>36</v>
      </c>
      <c r="L9" s="34"/>
      <c r="M9" s="35"/>
      <c r="N9" s="36" t="s">
        <v>38</v>
      </c>
      <c r="O9" s="42" t="s">
        <v>26</v>
      </c>
    </row>
    <row r="10" customFormat="false" ht="39.75" hidden="false" customHeight="true" outlineLevel="0" collapsed="false">
      <c r="A10" s="27" t="n">
        <v>2</v>
      </c>
      <c r="B10" s="46" t="s">
        <v>191</v>
      </c>
      <c r="C10" s="47" t="s">
        <v>195</v>
      </c>
      <c r="D10" s="48" t="s">
        <v>41</v>
      </c>
      <c r="E10" s="46" t="s">
        <v>196</v>
      </c>
      <c r="F10" s="47" t="s">
        <v>197</v>
      </c>
      <c r="G10" s="27" t="n">
        <v>8</v>
      </c>
      <c r="H10" s="27" t="s">
        <v>190</v>
      </c>
      <c r="I10" s="27" t="n">
        <v>4</v>
      </c>
      <c r="J10" s="27" t="n">
        <v>1</v>
      </c>
      <c r="K10" s="27" t="s">
        <v>40</v>
      </c>
      <c r="L10" s="40"/>
      <c r="M10" s="41"/>
      <c r="N10" s="36" t="s">
        <v>42</v>
      </c>
      <c r="O10" s="27" t="s">
        <v>26</v>
      </c>
    </row>
    <row r="11" customFormat="false" ht="39.75" hidden="false" customHeight="true" outlineLevel="0" collapsed="false">
      <c r="A11" s="30" t="n">
        <v>3</v>
      </c>
      <c r="B11" s="31" t="s">
        <v>198</v>
      </c>
      <c r="C11" s="32" t="s">
        <v>199</v>
      </c>
      <c r="D11" s="33" t="s">
        <v>46</v>
      </c>
      <c r="E11" s="31" t="s">
        <v>200</v>
      </c>
      <c r="F11" s="32" t="s">
        <v>201</v>
      </c>
      <c r="G11" s="30" t="n">
        <v>7</v>
      </c>
      <c r="H11" s="30" t="s">
        <v>183</v>
      </c>
      <c r="I11" s="30" t="n">
        <v>5</v>
      </c>
      <c r="J11" s="30" t="n">
        <v>2</v>
      </c>
      <c r="K11" s="30" t="s">
        <v>22</v>
      </c>
      <c r="L11" s="34"/>
      <c r="M11" s="35"/>
      <c r="N11" s="36" t="s">
        <v>47</v>
      </c>
      <c r="O11" s="30" t="s">
        <v>26</v>
      </c>
    </row>
    <row r="12" customFormat="false" ht="39.75" hidden="false" customHeight="true" outlineLevel="0" collapsed="false">
      <c r="A12" s="20" t="n">
        <v>3</v>
      </c>
      <c r="B12" s="37" t="s">
        <v>198</v>
      </c>
      <c r="C12" s="38" t="s">
        <v>202</v>
      </c>
      <c r="D12" s="39" t="s">
        <v>49</v>
      </c>
      <c r="E12" s="37" t="s">
        <v>203</v>
      </c>
      <c r="F12" s="38" t="s">
        <v>204</v>
      </c>
      <c r="G12" s="20" t="n">
        <v>7</v>
      </c>
      <c r="H12" s="20" t="s">
        <v>183</v>
      </c>
      <c r="I12" s="20" t="n">
        <v>6</v>
      </c>
      <c r="J12" s="20" t="n">
        <v>2</v>
      </c>
      <c r="K12" s="20" t="s">
        <v>30</v>
      </c>
      <c r="L12" s="40"/>
      <c r="M12" s="41"/>
      <c r="N12" s="36" t="s">
        <v>50</v>
      </c>
      <c r="O12" s="20" t="s">
        <v>26</v>
      </c>
    </row>
    <row r="13" customFormat="false" ht="39.75" hidden="false" customHeight="true" outlineLevel="0" collapsed="false">
      <c r="A13" s="20" t="n">
        <v>3</v>
      </c>
      <c r="B13" s="37" t="s">
        <v>198</v>
      </c>
      <c r="C13" s="38" t="s">
        <v>205</v>
      </c>
      <c r="D13" s="39" t="s">
        <v>52</v>
      </c>
      <c r="E13" s="37" t="s">
        <v>206</v>
      </c>
      <c r="F13" s="38" t="s">
        <v>207</v>
      </c>
      <c r="G13" s="20" t="n">
        <v>6</v>
      </c>
      <c r="H13" s="20" t="s">
        <v>208</v>
      </c>
      <c r="I13" s="20" t="n">
        <v>7</v>
      </c>
      <c r="J13" s="20" t="n">
        <v>2</v>
      </c>
      <c r="K13" s="20" t="s">
        <v>36</v>
      </c>
      <c r="L13" s="40"/>
      <c r="M13" s="41"/>
      <c r="N13" s="36" t="s">
        <v>53</v>
      </c>
      <c r="O13" s="20" t="s">
        <v>26</v>
      </c>
    </row>
    <row r="14" customFormat="false" ht="39.75" hidden="false" customHeight="true" outlineLevel="0" collapsed="false">
      <c r="A14" s="42" t="n">
        <v>4</v>
      </c>
      <c r="B14" s="43" t="s">
        <v>209</v>
      </c>
      <c r="C14" s="44" t="s">
        <v>210</v>
      </c>
      <c r="D14" s="45" t="s">
        <v>55</v>
      </c>
      <c r="E14" s="43" t="s">
        <v>211</v>
      </c>
      <c r="F14" s="44" t="s">
        <v>212</v>
      </c>
      <c r="G14" s="42" t="n">
        <v>6</v>
      </c>
      <c r="H14" s="42" t="s">
        <v>208</v>
      </c>
      <c r="I14" s="42" t="n">
        <v>7</v>
      </c>
      <c r="J14" s="42" t="n">
        <v>2</v>
      </c>
      <c r="K14" s="42" t="s">
        <v>36</v>
      </c>
      <c r="L14" s="34"/>
      <c r="M14" s="35"/>
      <c r="N14" s="36" t="s">
        <v>56</v>
      </c>
      <c r="O14" s="42" t="s">
        <v>26</v>
      </c>
    </row>
    <row r="15" customFormat="false" ht="39.75" hidden="false" customHeight="true" outlineLevel="0" collapsed="false">
      <c r="A15" s="27" t="n">
        <v>4</v>
      </c>
      <c r="B15" s="46" t="s">
        <v>209</v>
      </c>
      <c r="C15" s="47" t="s">
        <v>213</v>
      </c>
      <c r="D15" s="48" t="s">
        <v>58</v>
      </c>
      <c r="E15" s="46" t="s">
        <v>214</v>
      </c>
      <c r="F15" s="47" t="s">
        <v>215</v>
      </c>
      <c r="G15" s="27" t="n">
        <v>6</v>
      </c>
      <c r="H15" s="27" t="s">
        <v>208</v>
      </c>
      <c r="I15" s="27" t="n">
        <v>8</v>
      </c>
      <c r="J15" s="27" t="n">
        <v>2</v>
      </c>
      <c r="K15" s="27" t="s">
        <v>40</v>
      </c>
      <c r="L15" s="40"/>
      <c r="M15" s="41"/>
      <c r="N15" s="36" t="s">
        <v>59</v>
      </c>
      <c r="O15" s="27" t="s">
        <v>26</v>
      </c>
    </row>
    <row r="16" customFormat="false" ht="39.75" hidden="false" customHeight="true" outlineLevel="0" collapsed="false">
      <c r="A16" s="30" t="n">
        <v>5</v>
      </c>
      <c r="B16" s="31" t="s">
        <v>216</v>
      </c>
      <c r="C16" s="32" t="s">
        <v>217</v>
      </c>
      <c r="D16" s="33" t="s">
        <v>64</v>
      </c>
      <c r="E16" s="31" t="s">
        <v>218</v>
      </c>
      <c r="F16" s="32" t="s">
        <v>219</v>
      </c>
      <c r="G16" s="30" t="n">
        <v>7</v>
      </c>
      <c r="H16" s="30" t="s">
        <v>183</v>
      </c>
      <c r="I16" s="30" t="n">
        <v>9</v>
      </c>
      <c r="J16" s="30" t="n">
        <v>3</v>
      </c>
      <c r="K16" s="30" t="s">
        <v>22</v>
      </c>
      <c r="L16" s="34"/>
      <c r="M16" s="35"/>
      <c r="N16" s="36" t="s">
        <v>65</v>
      </c>
      <c r="O16" s="30" t="s">
        <v>26</v>
      </c>
    </row>
    <row r="17" customFormat="false" ht="39.75" hidden="false" customHeight="true" outlineLevel="0" collapsed="false">
      <c r="A17" s="20" t="n">
        <v>5</v>
      </c>
      <c r="B17" s="37" t="s">
        <v>216</v>
      </c>
      <c r="C17" s="38" t="s">
        <v>220</v>
      </c>
      <c r="D17" s="39" t="s">
        <v>67</v>
      </c>
      <c r="E17" s="37" t="s">
        <v>221</v>
      </c>
      <c r="F17" s="38" t="s">
        <v>222</v>
      </c>
      <c r="G17" s="20" t="n">
        <v>6</v>
      </c>
      <c r="H17" s="20" t="s">
        <v>208</v>
      </c>
      <c r="I17" s="20" t="n">
        <v>10</v>
      </c>
      <c r="J17" s="20" t="n">
        <v>3</v>
      </c>
      <c r="K17" s="20" t="s">
        <v>30</v>
      </c>
      <c r="L17" s="40"/>
      <c r="M17" s="41"/>
      <c r="N17" s="36" t="s">
        <v>68</v>
      </c>
      <c r="O17" s="20" t="s">
        <v>26</v>
      </c>
    </row>
    <row r="18" customFormat="false" ht="39.75" hidden="false" customHeight="true" outlineLevel="0" collapsed="false">
      <c r="A18" s="20" t="n">
        <v>5</v>
      </c>
      <c r="B18" s="37" t="s">
        <v>216</v>
      </c>
      <c r="C18" s="38" t="s">
        <v>223</v>
      </c>
      <c r="D18" s="39" t="s">
        <v>70</v>
      </c>
      <c r="E18" s="37" t="s">
        <v>224</v>
      </c>
      <c r="F18" s="38" t="s">
        <v>225</v>
      </c>
      <c r="G18" s="20" t="n">
        <v>6</v>
      </c>
      <c r="H18" s="20" t="s">
        <v>208</v>
      </c>
      <c r="I18" s="20" t="n">
        <v>11</v>
      </c>
      <c r="J18" s="20" t="n">
        <v>3</v>
      </c>
      <c r="K18" s="20" t="s">
        <v>36</v>
      </c>
      <c r="L18" s="40"/>
      <c r="M18" s="41"/>
      <c r="N18" s="36" t="s">
        <v>71</v>
      </c>
      <c r="O18" s="20" t="s">
        <v>26</v>
      </c>
    </row>
    <row r="19" customFormat="false" ht="39.75" hidden="false" customHeight="true" outlineLevel="0" collapsed="false">
      <c r="A19" s="20" t="n">
        <v>5</v>
      </c>
      <c r="B19" s="37" t="s">
        <v>216</v>
      </c>
      <c r="C19" s="38" t="s">
        <v>226</v>
      </c>
      <c r="D19" s="39" t="s">
        <v>73</v>
      </c>
      <c r="E19" s="37" t="s">
        <v>227</v>
      </c>
      <c r="F19" s="38" t="s">
        <v>228</v>
      </c>
      <c r="G19" s="20" t="n">
        <v>6</v>
      </c>
      <c r="H19" s="20" t="s">
        <v>208</v>
      </c>
      <c r="I19" s="20" t="n">
        <v>12</v>
      </c>
      <c r="J19" s="20" t="n">
        <v>3</v>
      </c>
      <c r="K19" s="20" t="s">
        <v>40</v>
      </c>
      <c r="L19" s="40"/>
      <c r="M19" s="41"/>
      <c r="N19" s="36" t="s">
        <v>74</v>
      </c>
      <c r="O19" s="20" t="s">
        <v>26</v>
      </c>
    </row>
    <row r="20" customFormat="false" ht="39.75" hidden="false" customHeight="true" outlineLevel="0" collapsed="false">
      <c r="A20" s="42" t="n">
        <v>6</v>
      </c>
      <c r="B20" s="43" t="s">
        <v>229</v>
      </c>
      <c r="C20" s="44" t="s">
        <v>230</v>
      </c>
      <c r="D20" s="45" t="s">
        <v>78</v>
      </c>
      <c r="E20" s="43" t="s">
        <v>231</v>
      </c>
      <c r="F20" s="44" t="s">
        <v>232</v>
      </c>
      <c r="G20" s="42" t="n">
        <v>6</v>
      </c>
      <c r="H20" s="42" t="s">
        <v>208</v>
      </c>
      <c r="I20" s="42" t="n">
        <v>13</v>
      </c>
      <c r="J20" s="42" t="n">
        <v>4</v>
      </c>
      <c r="K20" s="42" t="s">
        <v>22</v>
      </c>
      <c r="L20" s="34"/>
      <c r="M20" s="35"/>
      <c r="N20" s="36" t="s">
        <v>79</v>
      </c>
      <c r="O20" s="42" t="s">
        <v>26</v>
      </c>
    </row>
    <row r="21" customFormat="false" ht="39.75" hidden="false" customHeight="true" outlineLevel="0" collapsed="false">
      <c r="A21" s="27" t="n">
        <v>6</v>
      </c>
      <c r="B21" s="46" t="s">
        <v>229</v>
      </c>
      <c r="C21" s="47" t="s">
        <v>233</v>
      </c>
      <c r="D21" s="48" t="s">
        <v>80</v>
      </c>
      <c r="E21" s="46" t="s">
        <v>234</v>
      </c>
      <c r="F21" s="47" t="s">
        <v>235</v>
      </c>
      <c r="G21" s="27" t="n">
        <v>6</v>
      </c>
      <c r="H21" s="27" t="s">
        <v>208</v>
      </c>
      <c r="I21" s="27" t="n">
        <v>13</v>
      </c>
      <c r="J21" s="27" t="n">
        <v>4</v>
      </c>
      <c r="K21" s="27" t="s">
        <v>22</v>
      </c>
      <c r="L21" s="40"/>
      <c r="M21" s="41"/>
      <c r="N21" s="36" t="s">
        <v>81</v>
      </c>
      <c r="O21" s="27" t="s">
        <v>26</v>
      </c>
    </row>
    <row r="22" customFormat="false" ht="39.75" hidden="false" customHeight="true" outlineLevel="0" collapsed="false">
      <c r="A22" s="27" t="n">
        <v>6</v>
      </c>
      <c r="B22" s="46" t="s">
        <v>229</v>
      </c>
      <c r="C22" s="47" t="s">
        <v>236</v>
      </c>
      <c r="D22" s="48" t="s">
        <v>83</v>
      </c>
      <c r="E22" s="46" t="s">
        <v>237</v>
      </c>
      <c r="F22" s="47" t="s">
        <v>238</v>
      </c>
      <c r="G22" s="27" t="n">
        <v>10</v>
      </c>
      <c r="H22" s="27" t="s">
        <v>239</v>
      </c>
      <c r="I22" s="27" t="n">
        <v>14</v>
      </c>
      <c r="J22" s="27" t="n">
        <v>4</v>
      </c>
      <c r="K22" s="27" t="s">
        <v>30</v>
      </c>
      <c r="L22" s="40"/>
      <c r="M22" s="41"/>
      <c r="N22" s="36" t="s">
        <v>84</v>
      </c>
      <c r="O22" s="27" t="s">
        <v>26</v>
      </c>
    </row>
    <row r="23" customFormat="false" ht="39.75" hidden="false" customHeight="true" outlineLevel="0" collapsed="false">
      <c r="A23" s="30" t="n">
        <v>7</v>
      </c>
      <c r="B23" s="31" t="s">
        <v>240</v>
      </c>
      <c r="C23" s="32" t="s">
        <v>241</v>
      </c>
      <c r="D23" s="33" t="s">
        <v>87</v>
      </c>
      <c r="E23" s="31" t="s">
        <v>242</v>
      </c>
      <c r="F23" s="32" t="s">
        <v>243</v>
      </c>
      <c r="G23" s="30" t="n">
        <v>6</v>
      </c>
      <c r="H23" s="30" t="s">
        <v>208</v>
      </c>
      <c r="I23" s="30" t="n">
        <v>15</v>
      </c>
      <c r="J23" s="30" t="n">
        <v>4</v>
      </c>
      <c r="K23" s="30" t="s">
        <v>36</v>
      </c>
      <c r="L23" s="34"/>
      <c r="M23" s="35"/>
      <c r="N23" s="36" t="s">
        <v>88</v>
      </c>
      <c r="O23" s="30" t="s">
        <v>26</v>
      </c>
    </row>
    <row r="24" customFormat="false" ht="39.75" hidden="false" customHeight="true" outlineLevel="0" collapsed="false">
      <c r="A24" s="20" t="n">
        <v>7</v>
      </c>
      <c r="B24" s="37" t="s">
        <v>240</v>
      </c>
      <c r="C24" s="38" t="s">
        <v>244</v>
      </c>
      <c r="D24" s="39" t="s">
        <v>90</v>
      </c>
      <c r="E24" s="37" t="s">
        <v>245</v>
      </c>
      <c r="F24" s="38" t="s">
        <v>246</v>
      </c>
      <c r="G24" s="20" t="n">
        <v>12</v>
      </c>
      <c r="H24" s="20" t="s">
        <v>247</v>
      </c>
      <c r="I24" s="20" t="n">
        <v>16</v>
      </c>
      <c r="J24" s="20" t="n">
        <v>4</v>
      </c>
      <c r="K24" s="20" t="s">
        <v>40</v>
      </c>
      <c r="L24" s="40"/>
      <c r="M24" s="41"/>
      <c r="N24" s="36" t="s">
        <v>91</v>
      </c>
      <c r="O24" s="20" t="s">
        <v>26</v>
      </c>
    </row>
    <row r="25" customFormat="false" ht="39.75" hidden="false" customHeight="true" outlineLevel="0" collapsed="false">
      <c r="A25" s="20" t="n">
        <v>7</v>
      </c>
      <c r="B25" s="37" t="s">
        <v>240</v>
      </c>
      <c r="C25" s="38" t="s">
        <v>248</v>
      </c>
      <c r="D25" s="39" t="s">
        <v>93</v>
      </c>
      <c r="E25" s="37" t="s">
        <v>249</v>
      </c>
      <c r="F25" s="38" t="s">
        <v>250</v>
      </c>
      <c r="G25" s="20" t="n">
        <v>6</v>
      </c>
      <c r="H25" s="20" t="s">
        <v>208</v>
      </c>
      <c r="I25" s="20" t="n">
        <v>17</v>
      </c>
      <c r="J25" s="20" t="n">
        <v>5</v>
      </c>
      <c r="K25" s="20" t="s">
        <v>22</v>
      </c>
      <c r="L25" s="40"/>
      <c r="M25" s="41"/>
      <c r="N25" s="36" t="s">
        <v>94</v>
      </c>
      <c r="O25" s="20" t="s">
        <v>26</v>
      </c>
    </row>
    <row r="26" customFormat="false" ht="39.75" hidden="false" customHeight="true" outlineLevel="0" collapsed="false">
      <c r="A26" s="20" t="n">
        <v>7</v>
      </c>
      <c r="B26" s="37" t="s">
        <v>240</v>
      </c>
      <c r="C26" s="38" t="s">
        <v>251</v>
      </c>
      <c r="D26" s="39" t="s">
        <v>96</v>
      </c>
      <c r="E26" s="37" t="s">
        <v>252</v>
      </c>
      <c r="F26" s="38" t="s">
        <v>253</v>
      </c>
      <c r="G26" s="20" t="n">
        <v>6</v>
      </c>
      <c r="H26" s="20" t="s">
        <v>208</v>
      </c>
      <c r="I26" s="20" t="n">
        <v>18</v>
      </c>
      <c r="J26" s="20" t="n">
        <v>5</v>
      </c>
      <c r="K26" s="20" t="s">
        <v>30</v>
      </c>
      <c r="L26" s="40"/>
      <c r="M26" s="41"/>
      <c r="N26" s="36" t="s">
        <v>97</v>
      </c>
      <c r="O26" s="20" t="s">
        <v>26</v>
      </c>
    </row>
    <row r="27" customFormat="false" ht="39.75" hidden="false" customHeight="true" outlineLevel="0" collapsed="false">
      <c r="A27" s="42" t="n">
        <v>8</v>
      </c>
      <c r="B27" s="43" t="s">
        <v>254</v>
      </c>
      <c r="C27" s="44" t="s">
        <v>255</v>
      </c>
      <c r="D27" s="45" t="s">
        <v>101</v>
      </c>
      <c r="E27" s="43" t="s">
        <v>256</v>
      </c>
      <c r="F27" s="44" t="s">
        <v>257</v>
      </c>
      <c r="G27" s="42" t="n">
        <v>6</v>
      </c>
      <c r="H27" s="42" t="s">
        <v>258</v>
      </c>
      <c r="I27" s="42" t="n">
        <v>19</v>
      </c>
      <c r="J27" s="42" t="n">
        <v>5</v>
      </c>
      <c r="K27" s="42" t="s">
        <v>36</v>
      </c>
      <c r="L27" s="34"/>
      <c r="M27" s="35"/>
      <c r="N27" s="36" t="s">
        <v>102</v>
      </c>
      <c r="O27" s="42" t="s">
        <v>26</v>
      </c>
    </row>
    <row r="28" customFormat="false" ht="39.75" hidden="false" customHeight="true" outlineLevel="0" collapsed="false">
      <c r="A28" s="27" t="n">
        <v>8</v>
      </c>
      <c r="B28" s="46" t="s">
        <v>254</v>
      </c>
      <c r="C28" s="47" t="s">
        <v>259</v>
      </c>
      <c r="D28" s="48" t="s">
        <v>103</v>
      </c>
      <c r="E28" s="46" t="s">
        <v>260</v>
      </c>
      <c r="F28" s="47" t="s">
        <v>261</v>
      </c>
      <c r="G28" s="27" t="n">
        <v>5</v>
      </c>
      <c r="H28" s="27" t="s">
        <v>262</v>
      </c>
      <c r="I28" s="27" t="n">
        <v>19</v>
      </c>
      <c r="J28" s="27" t="n">
        <v>5</v>
      </c>
      <c r="K28" s="27" t="s">
        <v>36</v>
      </c>
      <c r="L28" s="40"/>
      <c r="M28" s="41"/>
      <c r="N28" s="36" t="s">
        <v>102</v>
      </c>
      <c r="O28" s="27" t="s">
        <v>26</v>
      </c>
    </row>
    <row r="29" customFormat="false" ht="39.75" hidden="false" customHeight="true" outlineLevel="0" collapsed="false">
      <c r="A29" s="30" t="n">
        <v>9</v>
      </c>
      <c r="B29" s="31" t="s">
        <v>263</v>
      </c>
      <c r="C29" s="32" t="s">
        <v>264</v>
      </c>
      <c r="D29" s="33" t="s">
        <v>106</v>
      </c>
      <c r="E29" s="31" t="s">
        <v>265</v>
      </c>
      <c r="F29" s="32" t="s">
        <v>266</v>
      </c>
      <c r="G29" s="30" t="n">
        <v>5</v>
      </c>
      <c r="H29" s="30" t="s">
        <v>262</v>
      </c>
      <c r="I29" s="30" t="n">
        <v>20</v>
      </c>
      <c r="J29" s="30" t="n">
        <v>5</v>
      </c>
      <c r="K29" s="30" t="s">
        <v>40</v>
      </c>
      <c r="L29" s="34"/>
      <c r="M29" s="35"/>
      <c r="N29" s="36" t="s">
        <v>107</v>
      </c>
      <c r="O29" s="30" t="s">
        <v>26</v>
      </c>
    </row>
    <row r="30" customFormat="false" ht="39.75" hidden="false" customHeight="true" outlineLevel="0" collapsed="false">
      <c r="A30" s="20" t="n">
        <v>9</v>
      </c>
      <c r="B30" s="37" t="s">
        <v>263</v>
      </c>
      <c r="C30" s="38" t="s">
        <v>267</v>
      </c>
      <c r="D30" s="39" t="s">
        <v>108</v>
      </c>
      <c r="E30" s="37" t="s">
        <v>268</v>
      </c>
      <c r="F30" s="38" t="s">
        <v>269</v>
      </c>
      <c r="G30" s="20" t="n">
        <v>6</v>
      </c>
      <c r="H30" s="20" t="s">
        <v>208</v>
      </c>
      <c r="I30" s="20" t="n">
        <v>20</v>
      </c>
      <c r="J30" s="20" t="n">
        <v>5</v>
      </c>
      <c r="K30" s="20" t="s">
        <v>40</v>
      </c>
      <c r="L30" s="40"/>
      <c r="M30" s="41"/>
      <c r="N30" s="36" t="s">
        <v>109</v>
      </c>
      <c r="O30" s="20" t="s">
        <v>26</v>
      </c>
    </row>
    <row r="31" customFormat="false" ht="39.75" hidden="false" customHeight="true" outlineLevel="0" collapsed="false">
      <c r="A31" s="42" t="n">
        <v>10</v>
      </c>
      <c r="B31" s="43" t="s">
        <v>270</v>
      </c>
      <c r="C31" s="44" t="s">
        <v>271</v>
      </c>
      <c r="D31" s="45" t="s">
        <v>113</v>
      </c>
      <c r="E31" s="43" t="s">
        <v>272</v>
      </c>
      <c r="F31" s="44" t="s">
        <v>273</v>
      </c>
      <c r="G31" s="42" t="n">
        <v>6</v>
      </c>
      <c r="H31" s="42" t="s">
        <v>208</v>
      </c>
      <c r="I31" s="42" t="n">
        <v>21</v>
      </c>
      <c r="J31" s="42" t="n">
        <v>6</v>
      </c>
      <c r="K31" s="42" t="s">
        <v>22</v>
      </c>
      <c r="L31" s="34"/>
      <c r="M31" s="35"/>
      <c r="N31" s="36" t="s">
        <v>114</v>
      </c>
      <c r="O31" s="42" t="s">
        <v>26</v>
      </c>
    </row>
    <row r="32" customFormat="false" ht="39.75" hidden="false" customHeight="true" outlineLevel="0" collapsed="false">
      <c r="A32" s="27" t="n">
        <v>10</v>
      </c>
      <c r="B32" s="46" t="s">
        <v>270</v>
      </c>
      <c r="C32" s="47" t="s">
        <v>274</v>
      </c>
      <c r="D32" s="48" t="s">
        <v>115</v>
      </c>
      <c r="E32" s="46" t="s">
        <v>275</v>
      </c>
      <c r="F32" s="47" t="s">
        <v>276</v>
      </c>
      <c r="G32" s="27" t="n">
        <v>6</v>
      </c>
      <c r="H32" s="27" t="s">
        <v>208</v>
      </c>
      <c r="I32" s="27" t="n">
        <v>21</v>
      </c>
      <c r="J32" s="27" t="n">
        <v>6</v>
      </c>
      <c r="K32" s="27" t="s">
        <v>22</v>
      </c>
      <c r="L32" s="40"/>
      <c r="M32" s="41"/>
      <c r="N32" s="36" t="s">
        <v>116</v>
      </c>
      <c r="O32" s="27" t="s">
        <v>26</v>
      </c>
    </row>
    <row r="33" customFormat="false" ht="39.75" hidden="false" customHeight="true" outlineLevel="0" collapsed="false">
      <c r="A33" s="30" t="n">
        <v>11</v>
      </c>
      <c r="B33" s="31" t="s">
        <v>277</v>
      </c>
      <c r="C33" s="32" t="s">
        <v>278</v>
      </c>
      <c r="D33" s="33" t="s">
        <v>119</v>
      </c>
      <c r="E33" s="31" t="s">
        <v>279</v>
      </c>
      <c r="F33" s="32" t="s">
        <v>280</v>
      </c>
      <c r="G33" s="30" t="n">
        <v>12</v>
      </c>
      <c r="H33" s="30" t="s">
        <v>247</v>
      </c>
      <c r="I33" s="30" t="n">
        <v>22</v>
      </c>
      <c r="J33" s="30" t="n">
        <v>6</v>
      </c>
      <c r="K33" s="30" t="s">
        <v>30</v>
      </c>
      <c r="L33" s="34"/>
      <c r="M33" s="35"/>
      <c r="N33" s="36" t="s">
        <v>120</v>
      </c>
      <c r="O33" s="30" t="s">
        <v>26</v>
      </c>
    </row>
    <row r="34" customFormat="false" ht="39.75" hidden="false" customHeight="true" outlineLevel="0" collapsed="false">
      <c r="A34" s="20" t="n">
        <v>11</v>
      </c>
      <c r="B34" s="37" t="s">
        <v>277</v>
      </c>
      <c r="C34" s="38" t="s">
        <v>281</v>
      </c>
      <c r="D34" s="39" t="s">
        <v>122</v>
      </c>
      <c r="E34" s="37" t="s">
        <v>282</v>
      </c>
      <c r="F34" s="38" t="s">
        <v>283</v>
      </c>
      <c r="G34" s="20" t="n">
        <v>8</v>
      </c>
      <c r="H34" s="20" t="s">
        <v>190</v>
      </c>
      <c r="I34" s="20" t="n">
        <v>23</v>
      </c>
      <c r="J34" s="20" t="n">
        <v>6</v>
      </c>
      <c r="K34" s="20" t="s">
        <v>36</v>
      </c>
      <c r="L34" s="40"/>
      <c r="M34" s="41"/>
      <c r="N34" s="36" t="s">
        <v>123</v>
      </c>
      <c r="O34" s="20" t="s">
        <v>26</v>
      </c>
    </row>
    <row r="35" customFormat="false" ht="39.75" hidden="false" customHeight="true" outlineLevel="0" collapsed="false">
      <c r="A35" s="20" t="n">
        <v>11</v>
      </c>
      <c r="B35" s="37" t="s">
        <v>277</v>
      </c>
      <c r="C35" s="38" t="s">
        <v>284</v>
      </c>
      <c r="D35" s="39" t="s">
        <v>125</v>
      </c>
      <c r="E35" s="37" t="s">
        <v>285</v>
      </c>
      <c r="F35" s="38" t="s">
        <v>286</v>
      </c>
      <c r="G35" s="20" t="n">
        <v>5</v>
      </c>
      <c r="H35" s="20" t="s">
        <v>262</v>
      </c>
      <c r="I35" s="20" t="n">
        <v>24</v>
      </c>
      <c r="J35" s="20" t="n">
        <v>6</v>
      </c>
      <c r="K35" s="20" t="s">
        <v>40</v>
      </c>
      <c r="L35" s="40"/>
      <c r="M35" s="41"/>
      <c r="N35" s="36" t="s">
        <v>126</v>
      </c>
      <c r="O35" s="20" t="s">
        <v>26</v>
      </c>
    </row>
    <row r="36" customFormat="false" ht="39.75" hidden="false" customHeight="true" outlineLevel="0" collapsed="false">
      <c r="A36" s="42" t="n">
        <v>12</v>
      </c>
      <c r="B36" s="43" t="s">
        <v>287</v>
      </c>
      <c r="C36" s="44" t="s">
        <v>288</v>
      </c>
      <c r="D36" s="45" t="s">
        <v>130</v>
      </c>
      <c r="E36" s="43" t="s">
        <v>289</v>
      </c>
      <c r="F36" s="44" t="s">
        <v>290</v>
      </c>
      <c r="G36" s="42" t="n">
        <v>5</v>
      </c>
      <c r="H36" s="42" t="s">
        <v>262</v>
      </c>
      <c r="I36" s="42" t="n">
        <v>25</v>
      </c>
      <c r="J36" s="42" t="n">
        <v>7</v>
      </c>
      <c r="K36" s="42" t="s">
        <v>22</v>
      </c>
      <c r="L36" s="34"/>
      <c r="M36" s="35"/>
      <c r="N36" s="36" t="s">
        <v>131</v>
      </c>
      <c r="O36" s="42" t="s">
        <v>26</v>
      </c>
    </row>
    <row r="37" customFormat="false" ht="39.75" hidden="false" customHeight="true" outlineLevel="0" collapsed="false">
      <c r="A37" s="27" t="n">
        <v>12</v>
      </c>
      <c r="B37" s="46" t="s">
        <v>287</v>
      </c>
      <c r="C37" s="47" t="s">
        <v>291</v>
      </c>
      <c r="D37" s="48" t="s">
        <v>133</v>
      </c>
      <c r="E37" s="46" t="s">
        <v>292</v>
      </c>
      <c r="F37" s="47" t="s">
        <v>293</v>
      </c>
      <c r="G37" s="27" t="n">
        <v>12</v>
      </c>
      <c r="H37" s="27" t="s">
        <v>247</v>
      </c>
      <c r="I37" s="27" t="n">
        <v>26</v>
      </c>
      <c r="J37" s="27" t="n">
        <v>7</v>
      </c>
      <c r="K37" s="27" t="s">
        <v>30</v>
      </c>
      <c r="L37" s="40"/>
      <c r="M37" s="41"/>
      <c r="N37" s="36" t="s">
        <v>134</v>
      </c>
      <c r="O37" s="27" t="s">
        <v>26</v>
      </c>
    </row>
    <row r="38" customFormat="false" ht="39.75" hidden="false" customHeight="true" outlineLevel="0" collapsed="false">
      <c r="A38" s="30" t="n">
        <v>13</v>
      </c>
      <c r="B38" s="31" t="s">
        <v>294</v>
      </c>
      <c r="C38" s="32" t="s">
        <v>295</v>
      </c>
      <c r="D38" s="33" t="s">
        <v>137</v>
      </c>
      <c r="E38" s="31" t="s">
        <v>296</v>
      </c>
      <c r="F38" s="32" t="s">
        <v>297</v>
      </c>
      <c r="G38" s="30" t="n">
        <v>6</v>
      </c>
      <c r="H38" s="30" t="s">
        <v>208</v>
      </c>
      <c r="I38" s="30" t="n">
        <v>27</v>
      </c>
      <c r="J38" s="30" t="n">
        <v>7</v>
      </c>
      <c r="K38" s="30" t="s">
        <v>36</v>
      </c>
      <c r="L38" s="34"/>
      <c r="M38" s="35"/>
      <c r="N38" s="36" t="s">
        <v>138</v>
      </c>
      <c r="O38" s="30" t="s">
        <v>26</v>
      </c>
    </row>
    <row r="39" customFormat="false" ht="39.75" hidden="false" customHeight="true" outlineLevel="0" collapsed="false">
      <c r="A39" s="20" t="n">
        <v>13</v>
      </c>
      <c r="B39" s="37" t="s">
        <v>294</v>
      </c>
      <c r="C39" s="38" t="s">
        <v>298</v>
      </c>
      <c r="D39" s="39" t="s">
        <v>139</v>
      </c>
      <c r="E39" s="37" t="s">
        <v>299</v>
      </c>
      <c r="F39" s="38" t="s">
        <v>300</v>
      </c>
      <c r="G39" s="20" t="n">
        <v>12</v>
      </c>
      <c r="H39" s="20" t="s">
        <v>301</v>
      </c>
      <c r="I39" s="20" t="n">
        <v>27</v>
      </c>
      <c r="J39" s="20" t="n">
        <v>7</v>
      </c>
      <c r="K39" s="20" t="s">
        <v>36</v>
      </c>
      <c r="L39" s="40"/>
      <c r="M39" s="41"/>
      <c r="N39" s="36" t="s">
        <v>140</v>
      </c>
      <c r="O39" s="20" t="s">
        <v>26</v>
      </c>
    </row>
    <row r="40" customFormat="false" ht="39.75" hidden="false" customHeight="true" outlineLevel="0" collapsed="false">
      <c r="A40" s="42" t="n">
        <v>14</v>
      </c>
      <c r="B40" s="43" t="s">
        <v>302</v>
      </c>
      <c r="C40" s="44" t="s">
        <v>303</v>
      </c>
      <c r="D40" s="45" t="s">
        <v>143</v>
      </c>
      <c r="E40" s="43" t="s">
        <v>304</v>
      </c>
      <c r="F40" s="44" t="s">
        <v>305</v>
      </c>
      <c r="G40" s="42" t="n">
        <v>6</v>
      </c>
      <c r="H40" s="42" t="s">
        <v>208</v>
      </c>
      <c r="I40" s="42" t="n">
        <v>28</v>
      </c>
      <c r="J40" s="42" t="n">
        <v>7</v>
      </c>
      <c r="K40" s="42" t="s">
        <v>40</v>
      </c>
      <c r="L40" s="34"/>
      <c r="M40" s="35"/>
      <c r="N40" s="36" t="s">
        <v>144</v>
      </c>
      <c r="O40" s="42" t="s">
        <v>26</v>
      </c>
    </row>
    <row r="41" customFormat="false" ht="39.75" hidden="false" customHeight="true" outlineLevel="0" collapsed="false">
      <c r="A41" s="27" t="n">
        <v>14</v>
      </c>
      <c r="B41" s="46" t="s">
        <v>302</v>
      </c>
      <c r="C41" s="47" t="s">
        <v>306</v>
      </c>
      <c r="D41" s="48" t="s">
        <v>145</v>
      </c>
      <c r="E41" s="46" t="s">
        <v>307</v>
      </c>
      <c r="F41" s="47" t="s">
        <v>308</v>
      </c>
      <c r="G41" s="27" t="n">
        <v>6</v>
      </c>
      <c r="H41" s="27" t="s">
        <v>208</v>
      </c>
      <c r="I41" s="27" t="n">
        <v>28</v>
      </c>
      <c r="J41" s="27" t="n">
        <v>7</v>
      </c>
      <c r="K41" s="27" t="s">
        <v>40</v>
      </c>
      <c r="L41" s="40"/>
      <c r="M41" s="41"/>
      <c r="N41" s="36" t="s">
        <v>146</v>
      </c>
      <c r="O41" s="27" t="s">
        <v>26</v>
      </c>
    </row>
    <row r="42" customFormat="false" ht="39.75" hidden="false" customHeight="true" outlineLevel="0" collapsed="false">
      <c r="A42" s="30" t="n">
        <v>15</v>
      </c>
      <c r="B42" s="31" t="s">
        <v>309</v>
      </c>
      <c r="C42" s="32" t="s">
        <v>310</v>
      </c>
      <c r="D42" s="33" t="s">
        <v>150</v>
      </c>
      <c r="E42" s="31" t="s">
        <v>311</v>
      </c>
      <c r="F42" s="32" t="s">
        <v>312</v>
      </c>
      <c r="G42" s="30" t="n">
        <v>6</v>
      </c>
      <c r="H42" s="30" t="s">
        <v>208</v>
      </c>
      <c r="I42" s="30" t="n">
        <v>29</v>
      </c>
      <c r="J42" s="30" t="n">
        <v>8</v>
      </c>
      <c r="K42" s="30" t="s">
        <v>22</v>
      </c>
      <c r="L42" s="34"/>
      <c r="M42" s="35"/>
      <c r="N42" s="36" t="s">
        <v>151</v>
      </c>
      <c r="O42" s="30" t="s">
        <v>26</v>
      </c>
    </row>
    <row r="43" customFormat="false" ht="39.75" hidden="false" customHeight="true" outlineLevel="0" collapsed="false">
      <c r="A43" s="20" t="n">
        <v>15</v>
      </c>
      <c r="B43" s="37" t="s">
        <v>309</v>
      </c>
      <c r="C43" s="38" t="s">
        <v>313</v>
      </c>
      <c r="D43" s="39" t="s">
        <v>153</v>
      </c>
      <c r="E43" s="37" t="s">
        <v>314</v>
      </c>
      <c r="F43" s="38" t="s">
        <v>315</v>
      </c>
      <c r="G43" s="20" t="n">
        <v>12</v>
      </c>
      <c r="H43" s="20" t="s">
        <v>247</v>
      </c>
      <c r="I43" s="20" t="n">
        <v>30</v>
      </c>
      <c r="J43" s="20" t="n">
        <v>8</v>
      </c>
      <c r="K43" s="20" t="s">
        <v>30</v>
      </c>
      <c r="L43" s="40"/>
      <c r="M43" s="41"/>
      <c r="N43" s="36" t="s">
        <v>154</v>
      </c>
      <c r="O43" s="20" t="s">
        <v>26</v>
      </c>
    </row>
    <row r="44" customFormat="false" ht="39.75" hidden="false" customHeight="true" outlineLevel="0" collapsed="false">
      <c r="A44" s="20" t="n">
        <v>15</v>
      </c>
      <c r="B44" s="37" t="s">
        <v>309</v>
      </c>
      <c r="C44" s="38" t="s">
        <v>316</v>
      </c>
      <c r="D44" s="39" t="s">
        <v>156</v>
      </c>
      <c r="E44" s="37" t="s">
        <v>317</v>
      </c>
      <c r="F44" s="38" t="s">
        <v>318</v>
      </c>
      <c r="G44" s="20" t="n">
        <v>6</v>
      </c>
      <c r="H44" s="20" t="s">
        <v>208</v>
      </c>
      <c r="I44" s="20" t="n">
        <v>31</v>
      </c>
      <c r="J44" s="20" t="n">
        <v>8</v>
      </c>
      <c r="K44" s="20" t="s">
        <v>36</v>
      </c>
      <c r="L44" s="40"/>
      <c r="M44" s="41"/>
      <c r="N44" s="36" t="s">
        <v>157</v>
      </c>
      <c r="O44" s="20" t="s">
        <v>26</v>
      </c>
    </row>
    <row r="45" customFormat="false" ht="39.75" hidden="false" customHeight="true" outlineLevel="0" collapsed="false">
      <c r="A45" s="42" t="n">
        <v>16</v>
      </c>
      <c r="B45" s="43" t="s">
        <v>319</v>
      </c>
      <c r="C45" s="44" t="s">
        <v>320</v>
      </c>
      <c r="D45" s="45" t="s">
        <v>159</v>
      </c>
      <c r="E45" s="43" t="s">
        <v>321</v>
      </c>
      <c r="F45" s="44" t="s">
        <v>322</v>
      </c>
      <c r="G45" s="42" t="n">
        <v>6</v>
      </c>
      <c r="H45" s="42" t="s">
        <v>208</v>
      </c>
      <c r="I45" s="42" t="n">
        <v>31</v>
      </c>
      <c r="J45" s="42" t="n">
        <v>8</v>
      </c>
      <c r="K45" s="42" t="s">
        <v>36</v>
      </c>
      <c r="L45" s="34"/>
      <c r="M45" s="35"/>
      <c r="N45" s="36" t="s">
        <v>160</v>
      </c>
      <c r="O45" s="42" t="s">
        <v>26</v>
      </c>
    </row>
    <row r="46" customFormat="false" ht="39.75" hidden="false" customHeight="true" outlineLevel="0" collapsed="false">
      <c r="A46" s="27" t="n">
        <v>16</v>
      </c>
      <c r="B46" s="46" t="s">
        <v>319</v>
      </c>
      <c r="C46" s="47" t="s">
        <v>323</v>
      </c>
      <c r="D46" s="48" t="s">
        <v>162</v>
      </c>
      <c r="E46" s="46" t="s">
        <v>324</v>
      </c>
      <c r="F46" s="47" t="s">
        <v>325</v>
      </c>
      <c r="G46" s="27" t="n">
        <v>6</v>
      </c>
      <c r="H46" s="27" t="s">
        <v>208</v>
      </c>
      <c r="I46" s="27" t="n">
        <v>32</v>
      </c>
      <c r="J46" s="27" t="n">
        <v>8</v>
      </c>
      <c r="K46" s="27" t="s">
        <v>40</v>
      </c>
      <c r="L46" s="40"/>
      <c r="M46" s="41"/>
      <c r="N46" s="36" t="s">
        <v>163</v>
      </c>
      <c r="O46" s="27" t="s">
        <v>26</v>
      </c>
    </row>
    <row r="47" customFormat="false" ht="39.75" hidden="false" customHeight="true" outlineLevel="0" collapsed="false">
      <c r="A47" s="27" t="n">
        <v>16</v>
      </c>
      <c r="B47" s="46" t="s">
        <v>319</v>
      </c>
      <c r="C47" s="47" t="s">
        <v>326</v>
      </c>
      <c r="D47" s="48" t="s">
        <v>164</v>
      </c>
      <c r="E47" s="46" t="s">
        <v>327</v>
      </c>
      <c r="F47" s="47" t="s">
        <v>328</v>
      </c>
      <c r="G47" s="27" t="n">
        <v>7</v>
      </c>
      <c r="H47" s="27" t="s">
        <v>183</v>
      </c>
      <c r="I47" s="27" t="n">
        <v>32</v>
      </c>
      <c r="J47" s="27" t="n">
        <v>8</v>
      </c>
      <c r="K47" s="27" t="s">
        <v>40</v>
      </c>
      <c r="L47" s="40"/>
      <c r="M47" s="41"/>
      <c r="N47" s="36" t="s">
        <v>165</v>
      </c>
      <c r="O47" s="27" t="s">
        <v>26</v>
      </c>
    </row>
  </sheetData>
  <mergeCells count="3">
    <mergeCell ref="A1:N1"/>
    <mergeCell ref="A2:N2"/>
    <mergeCell ref="A3:N3"/>
  </mergeCells>
  <dataValidations count="1">
    <dataValidation allowBlank="true" errorStyle="stop" operator="between" prompt="Pending / In production / Filmed / Edited / Live / Needs re-shoot" promptTitle="Production status" showDropDown="false" showErrorMessage="false" showInputMessage="false" sqref="N6:N47" type="list">
      <formula1>"Pending,In production,Filmed,Edited,Live,Needs re-shoot"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9"/>
    <col collapsed="false" customWidth="true" hidden="false" outlineLevel="0" max="3" min="3" style="1" width="8"/>
    <col collapsed="false" customWidth="true" hidden="false" outlineLevel="0" max="4" min="4" style="1" width="54"/>
    <col collapsed="false" customWidth="true" hidden="false" outlineLevel="0" max="5" min="5" style="1" width="8"/>
    <col collapsed="false" customWidth="true" hidden="false" outlineLevel="0" max="6" min="6" style="1" width="10"/>
  </cols>
  <sheetData>
    <row r="1" customFormat="false" ht="15" hidden="false" customHeight="true" outlineLevel="0" collapsed="false">
      <c r="A1" s="2" t="s">
        <v>329</v>
      </c>
      <c r="B1" s="2"/>
      <c r="C1" s="2"/>
      <c r="D1" s="2"/>
      <c r="E1" s="2"/>
      <c r="F1" s="2"/>
    </row>
    <row r="2" customFormat="false" ht="30" hidden="false" customHeight="true" outlineLevel="0" collapsed="false">
      <c r="A2" s="3" t="s">
        <v>330</v>
      </c>
      <c r="B2" s="3"/>
      <c r="C2" s="3"/>
      <c r="D2" s="3"/>
      <c r="E2" s="3"/>
      <c r="F2" s="3"/>
    </row>
    <row r="3" customFormat="false" ht="21.75" hidden="false" customHeight="true" outlineLevel="0" collapsed="false">
      <c r="A3" s="4" t="s">
        <v>331</v>
      </c>
      <c r="B3" s="4"/>
      <c r="C3" s="4"/>
      <c r="D3" s="4"/>
      <c r="E3" s="4"/>
      <c r="F3" s="4"/>
    </row>
    <row r="5" customFormat="false" ht="27.75" hidden="false" customHeight="true" outlineLevel="0" collapsed="false">
      <c r="A5" s="12" t="s">
        <v>176</v>
      </c>
      <c r="B5" s="12" t="s">
        <v>10</v>
      </c>
      <c r="C5" s="12" t="s">
        <v>175</v>
      </c>
      <c r="D5" s="12" t="s">
        <v>332</v>
      </c>
      <c r="E5" s="12" t="s">
        <v>13</v>
      </c>
      <c r="F5" s="12" t="s">
        <v>333</v>
      </c>
    </row>
    <row r="6" customFormat="false" ht="27.75" hidden="false" customHeight="true" outlineLevel="0" collapsed="false">
      <c r="A6" s="42" t="n">
        <v>1</v>
      </c>
      <c r="B6" s="42" t="s">
        <v>22</v>
      </c>
      <c r="C6" s="42" t="n">
        <v>1</v>
      </c>
      <c r="D6" s="43" t="s">
        <v>334</v>
      </c>
      <c r="E6" s="42" t="n">
        <v>14</v>
      </c>
      <c r="F6" s="42"/>
    </row>
    <row r="7" customFormat="false" ht="27.75" hidden="false" customHeight="true" outlineLevel="0" collapsed="false">
      <c r="A7" s="20" t="n">
        <v>1</v>
      </c>
      <c r="B7" s="20" t="s">
        <v>30</v>
      </c>
      <c r="C7" s="20" t="n">
        <v>2</v>
      </c>
      <c r="D7" s="37" t="s">
        <v>335</v>
      </c>
      <c r="E7" s="20" t="n">
        <v>8</v>
      </c>
      <c r="F7" s="20" t="s">
        <v>336</v>
      </c>
    </row>
    <row r="8" customFormat="false" ht="27.75" hidden="false" customHeight="true" outlineLevel="0" collapsed="false">
      <c r="A8" s="27" t="n">
        <v>1</v>
      </c>
      <c r="B8" s="27" t="s">
        <v>36</v>
      </c>
      <c r="C8" s="27" t="n">
        <v>3</v>
      </c>
      <c r="D8" s="46" t="s">
        <v>37</v>
      </c>
      <c r="E8" s="27" t="n">
        <v>7</v>
      </c>
      <c r="F8" s="27"/>
    </row>
    <row r="9" customFormat="false" ht="27.75" hidden="false" customHeight="true" outlineLevel="0" collapsed="false">
      <c r="A9" s="20" t="n">
        <v>1</v>
      </c>
      <c r="B9" s="20" t="s">
        <v>40</v>
      </c>
      <c r="C9" s="20" t="n">
        <v>4</v>
      </c>
      <c r="D9" s="37" t="s">
        <v>337</v>
      </c>
      <c r="E9" s="20" t="n">
        <v>8</v>
      </c>
      <c r="F9" s="20" t="s">
        <v>336</v>
      </c>
    </row>
    <row r="10" customFormat="false" ht="27.75" hidden="false" customHeight="true" outlineLevel="0" collapsed="false">
      <c r="A10" s="42" t="n">
        <v>2</v>
      </c>
      <c r="B10" s="42" t="s">
        <v>22</v>
      </c>
      <c r="C10" s="42" t="n">
        <v>5</v>
      </c>
      <c r="D10" s="43" t="s">
        <v>46</v>
      </c>
      <c r="E10" s="42" t="n">
        <v>7</v>
      </c>
      <c r="F10" s="42"/>
    </row>
    <row r="11" customFormat="false" ht="27.75" hidden="false" customHeight="true" outlineLevel="0" collapsed="false">
      <c r="A11" s="20" t="n">
        <v>2</v>
      </c>
      <c r="B11" s="20" t="s">
        <v>30</v>
      </c>
      <c r="C11" s="20" t="n">
        <v>6</v>
      </c>
      <c r="D11" s="37" t="s">
        <v>49</v>
      </c>
      <c r="E11" s="20" t="n">
        <v>7</v>
      </c>
      <c r="F11" s="20"/>
    </row>
    <row r="12" customFormat="false" ht="27.75" hidden="false" customHeight="true" outlineLevel="0" collapsed="false">
      <c r="A12" s="27" t="n">
        <v>2</v>
      </c>
      <c r="B12" s="27" t="s">
        <v>36</v>
      </c>
      <c r="C12" s="27" t="n">
        <v>7</v>
      </c>
      <c r="D12" s="46" t="s">
        <v>338</v>
      </c>
      <c r="E12" s="27" t="n">
        <v>12</v>
      </c>
      <c r="F12" s="27"/>
    </row>
    <row r="13" customFormat="false" ht="27.75" hidden="false" customHeight="true" outlineLevel="0" collapsed="false">
      <c r="A13" s="20" t="n">
        <v>2</v>
      </c>
      <c r="B13" s="20" t="s">
        <v>40</v>
      </c>
      <c r="C13" s="20" t="n">
        <v>8</v>
      </c>
      <c r="D13" s="37" t="s">
        <v>58</v>
      </c>
      <c r="E13" s="20" t="n">
        <v>6</v>
      </c>
      <c r="F13" s="20"/>
    </row>
    <row r="14" customFormat="false" ht="27.75" hidden="false" customHeight="true" outlineLevel="0" collapsed="false">
      <c r="A14" s="42" t="n">
        <v>3</v>
      </c>
      <c r="B14" s="42" t="s">
        <v>22</v>
      </c>
      <c r="C14" s="42" t="n">
        <v>9</v>
      </c>
      <c r="D14" s="43" t="s">
        <v>64</v>
      </c>
      <c r="E14" s="42" t="n">
        <v>7</v>
      </c>
      <c r="F14" s="42"/>
    </row>
    <row r="15" customFormat="false" ht="27.75" hidden="false" customHeight="true" outlineLevel="0" collapsed="false">
      <c r="A15" s="20" t="n">
        <v>3</v>
      </c>
      <c r="B15" s="20" t="s">
        <v>30</v>
      </c>
      <c r="C15" s="20" t="n">
        <v>10</v>
      </c>
      <c r="D15" s="37" t="s">
        <v>67</v>
      </c>
      <c r="E15" s="20" t="n">
        <v>6</v>
      </c>
      <c r="F15" s="20"/>
    </row>
    <row r="16" customFormat="false" ht="27.75" hidden="false" customHeight="true" outlineLevel="0" collapsed="false">
      <c r="A16" s="27" t="n">
        <v>3</v>
      </c>
      <c r="B16" s="27" t="s">
        <v>36</v>
      </c>
      <c r="C16" s="27" t="n">
        <v>11</v>
      </c>
      <c r="D16" s="46" t="s">
        <v>70</v>
      </c>
      <c r="E16" s="27" t="n">
        <v>6</v>
      </c>
      <c r="F16" s="27"/>
    </row>
    <row r="17" customFormat="false" ht="27.75" hidden="false" customHeight="true" outlineLevel="0" collapsed="false">
      <c r="A17" s="20" t="n">
        <v>3</v>
      </c>
      <c r="B17" s="20" t="s">
        <v>40</v>
      </c>
      <c r="C17" s="20" t="n">
        <v>12</v>
      </c>
      <c r="D17" s="37" t="s">
        <v>73</v>
      </c>
      <c r="E17" s="20" t="n">
        <v>6</v>
      </c>
      <c r="F17" s="20"/>
    </row>
    <row r="18" customFormat="false" ht="27.75" hidden="false" customHeight="true" outlineLevel="0" collapsed="false">
      <c r="A18" s="42" t="n">
        <v>4</v>
      </c>
      <c r="B18" s="42" t="s">
        <v>22</v>
      </c>
      <c r="C18" s="42" t="n">
        <v>13</v>
      </c>
      <c r="D18" s="43" t="s">
        <v>339</v>
      </c>
      <c r="E18" s="42" t="n">
        <v>12</v>
      </c>
      <c r="F18" s="42"/>
    </row>
    <row r="19" customFormat="false" ht="27.75" hidden="false" customHeight="true" outlineLevel="0" collapsed="false">
      <c r="A19" s="20" t="n">
        <v>4</v>
      </c>
      <c r="B19" s="20" t="s">
        <v>30</v>
      </c>
      <c r="C19" s="20" t="n">
        <v>14</v>
      </c>
      <c r="D19" s="37" t="s">
        <v>340</v>
      </c>
      <c r="E19" s="20" t="n">
        <v>10</v>
      </c>
      <c r="F19" s="20" t="s">
        <v>341</v>
      </c>
    </row>
    <row r="20" customFormat="false" ht="27.75" hidden="false" customHeight="true" outlineLevel="0" collapsed="false">
      <c r="A20" s="27" t="n">
        <v>4</v>
      </c>
      <c r="B20" s="27" t="s">
        <v>36</v>
      </c>
      <c r="C20" s="27" t="n">
        <v>15</v>
      </c>
      <c r="D20" s="46" t="s">
        <v>87</v>
      </c>
      <c r="E20" s="27" t="n">
        <v>6</v>
      </c>
      <c r="F20" s="27"/>
    </row>
    <row r="21" customFormat="false" ht="27.75" hidden="false" customHeight="true" outlineLevel="0" collapsed="false">
      <c r="A21" s="20" t="n">
        <v>4</v>
      </c>
      <c r="B21" s="20" t="s">
        <v>40</v>
      </c>
      <c r="C21" s="20" t="n">
        <v>16</v>
      </c>
      <c r="D21" s="37" t="s">
        <v>342</v>
      </c>
      <c r="E21" s="20" t="n">
        <v>12</v>
      </c>
      <c r="F21" s="20" t="s">
        <v>341</v>
      </c>
    </row>
    <row r="22" customFormat="false" ht="27.75" hidden="false" customHeight="true" outlineLevel="0" collapsed="false">
      <c r="A22" s="42" t="n">
        <v>5</v>
      </c>
      <c r="B22" s="42" t="s">
        <v>22</v>
      </c>
      <c r="C22" s="42" t="n">
        <v>17</v>
      </c>
      <c r="D22" s="43" t="s">
        <v>93</v>
      </c>
      <c r="E22" s="42" t="n">
        <v>6</v>
      </c>
      <c r="F22" s="42"/>
    </row>
    <row r="23" customFormat="false" ht="27.75" hidden="false" customHeight="true" outlineLevel="0" collapsed="false">
      <c r="A23" s="20" t="n">
        <v>5</v>
      </c>
      <c r="B23" s="20" t="s">
        <v>30</v>
      </c>
      <c r="C23" s="20" t="n">
        <v>18</v>
      </c>
      <c r="D23" s="37" t="s">
        <v>96</v>
      </c>
      <c r="E23" s="20" t="n">
        <v>6</v>
      </c>
      <c r="F23" s="20"/>
    </row>
    <row r="24" customFormat="false" ht="27.75" hidden="false" customHeight="true" outlineLevel="0" collapsed="false">
      <c r="A24" s="27" t="n">
        <v>5</v>
      </c>
      <c r="B24" s="27" t="s">
        <v>36</v>
      </c>
      <c r="C24" s="27" t="n">
        <v>19</v>
      </c>
      <c r="D24" s="46" t="s">
        <v>343</v>
      </c>
      <c r="E24" s="27" t="n">
        <v>11</v>
      </c>
      <c r="F24" s="27"/>
    </row>
    <row r="25" customFormat="false" ht="27.75" hidden="false" customHeight="true" outlineLevel="0" collapsed="false">
      <c r="A25" s="20" t="n">
        <v>5</v>
      </c>
      <c r="B25" s="20" t="s">
        <v>40</v>
      </c>
      <c r="C25" s="20" t="n">
        <v>20</v>
      </c>
      <c r="D25" s="37" t="s">
        <v>344</v>
      </c>
      <c r="E25" s="20" t="n">
        <v>11</v>
      </c>
      <c r="F25" s="20"/>
    </row>
    <row r="26" customFormat="false" ht="27.75" hidden="false" customHeight="true" outlineLevel="0" collapsed="false">
      <c r="A26" s="42" t="n">
        <v>6</v>
      </c>
      <c r="B26" s="42" t="s">
        <v>22</v>
      </c>
      <c r="C26" s="42" t="n">
        <v>21</v>
      </c>
      <c r="D26" s="43" t="s">
        <v>345</v>
      </c>
      <c r="E26" s="42" t="n">
        <v>12</v>
      </c>
      <c r="F26" s="42"/>
    </row>
    <row r="27" customFormat="false" ht="27.75" hidden="false" customHeight="true" outlineLevel="0" collapsed="false">
      <c r="A27" s="20" t="n">
        <v>6</v>
      </c>
      <c r="B27" s="20" t="s">
        <v>30</v>
      </c>
      <c r="C27" s="20" t="n">
        <v>22</v>
      </c>
      <c r="D27" s="37" t="s">
        <v>346</v>
      </c>
      <c r="E27" s="20" t="n">
        <v>12</v>
      </c>
      <c r="F27" s="20" t="s">
        <v>341</v>
      </c>
    </row>
    <row r="28" customFormat="false" ht="27.75" hidden="false" customHeight="true" outlineLevel="0" collapsed="false">
      <c r="A28" s="27" t="n">
        <v>6</v>
      </c>
      <c r="B28" s="27" t="s">
        <v>36</v>
      </c>
      <c r="C28" s="27" t="n">
        <v>23</v>
      </c>
      <c r="D28" s="46" t="s">
        <v>122</v>
      </c>
      <c r="E28" s="27" t="n">
        <v>8</v>
      </c>
      <c r="F28" s="27"/>
    </row>
    <row r="29" customFormat="false" ht="27.75" hidden="false" customHeight="true" outlineLevel="0" collapsed="false">
      <c r="A29" s="20" t="n">
        <v>6</v>
      </c>
      <c r="B29" s="20" t="s">
        <v>40</v>
      </c>
      <c r="C29" s="20" t="n">
        <v>24</v>
      </c>
      <c r="D29" s="37" t="s">
        <v>125</v>
      </c>
      <c r="E29" s="20" t="n">
        <v>5</v>
      </c>
      <c r="F29" s="20"/>
    </row>
    <row r="30" customFormat="false" ht="27.75" hidden="false" customHeight="true" outlineLevel="0" collapsed="false">
      <c r="A30" s="42" t="n">
        <v>7</v>
      </c>
      <c r="B30" s="42" t="s">
        <v>22</v>
      </c>
      <c r="C30" s="42" t="n">
        <v>25</v>
      </c>
      <c r="D30" s="43" t="s">
        <v>130</v>
      </c>
      <c r="E30" s="42" t="n">
        <v>5</v>
      </c>
      <c r="F30" s="42"/>
    </row>
    <row r="31" customFormat="false" ht="27.75" hidden="false" customHeight="true" outlineLevel="0" collapsed="false">
      <c r="A31" s="20" t="n">
        <v>7</v>
      </c>
      <c r="B31" s="20" t="s">
        <v>30</v>
      </c>
      <c r="C31" s="20" t="n">
        <v>26</v>
      </c>
      <c r="D31" s="37" t="s">
        <v>347</v>
      </c>
      <c r="E31" s="20" t="n">
        <v>12</v>
      </c>
      <c r="F31" s="20" t="s">
        <v>341</v>
      </c>
    </row>
    <row r="32" customFormat="false" ht="27.75" hidden="false" customHeight="true" outlineLevel="0" collapsed="false">
      <c r="A32" s="27" t="n">
        <v>7</v>
      </c>
      <c r="B32" s="27" t="s">
        <v>36</v>
      </c>
      <c r="C32" s="27" t="n">
        <v>27</v>
      </c>
      <c r="D32" s="46" t="s">
        <v>348</v>
      </c>
      <c r="E32" s="27" t="n">
        <v>18</v>
      </c>
      <c r="F32" s="27" t="s">
        <v>341</v>
      </c>
    </row>
    <row r="33" customFormat="false" ht="27.75" hidden="false" customHeight="true" outlineLevel="0" collapsed="false">
      <c r="A33" s="20" t="n">
        <v>7</v>
      </c>
      <c r="B33" s="20" t="s">
        <v>40</v>
      </c>
      <c r="C33" s="20" t="n">
        <v>28</v>
      </c>
      <c r="D33" s="37" t="s">
        <v>349</v>
      </c>
      <c r="E33" s="20" t="n">
        <v>12</v>
      </c>
      <c r="F33" s="20"/>
    </row>
    <row r="34" customFormat="false" ht="27.75" hidden="false" customHeight="true" outlineLevel="0" collapsed="false">
      <c r="A34" s="42" t="n">
        <v>8</v>
      </c>
      <c r="B34" s="42" t="s">
        <v>22</v>
      </c>
      <c r="C34" s="42" t="n">
        <v>29</v>
      </c>
      <c r="D34" s="43" t="s">
        <v>150</v>
      </c>
      <c r="E34" s="42" t="n">
        <v>6</v>
      </c>
      <c r="F34" s="42"/>
    </row>
    <row r="35" customFormat="false" ht="27.75" hidden="false" customHeight="true" outlineLevel="0" collapsed="false">
      <c r="A35" s="20" t="n">
        <v>8</v>
      </c>
      <c r="B35" s="20" t="s">
        <v>30</v>
      </c>
      <c r="C35" s="20" t="n">
        <v>30</v>
      </c>
      <c r="D35" s="37" t="s">
        <v>350</v>
      </c>
      <c r="E35" s="20" t="n">
        <v>12</v>
      </c>
      <c r="F35" s="20" t="s">
        <v>341</v>
      </c>
    </row>
    <row r="36" customFormat="false" ht="27.75" hidden="false" customHeight="true" outlineLevel="0" collapsed="false">
      <c r="A36" s="27" t="n">
        <v>8</v>
      </c>
      <c r="B36" s="27" t="s">
        <v>36</v>
      </c>
      <c r="C36" s="27" t="n">
        <v>31</v>
      </c>
      <c r="D36" s="46" t="s">
        <v>351</v>
      </c>
      <c r="E36" s="27" t="n">
        <v>12</v>
      </c>
      <c r="F36" s="27"/>
    </row>
    <row r="37" customFormat="false" ht="27.75" hidden="false" customHeight="true" outlineLevel="0" collapsed="false">
      <c r="A37" s="20" t="n">
        <v>8</v>
      </c>
      <c r="B37" s="20" t="s">
        <v>40</v>
      </c>
      <c r="C37" s="20" t="n">
        <v>32</v>
      </c>
      <c r="D37" s="37" t="s">
        <v>352</v>
      </c>
      <c r="E37" s="20" t="n">
        <v>13</v>
      </c>
      <c r="F37" s="20"/>
    </row>
  </sheetData>
  <mergeCells count="3">
    <mergeCell ref="A1:F1"/>
    <mergeCell ref="A2:F2"/>
    <mergeCell ref="A3:F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2026-05-17T20:04:54Z</dcterms:created>
  <dc:creator>openpyxl</dc:creator>
  <dc:description/>
  <dc:language>en-US</dc:language>
  <cp:lastModifiedBy/>
  <dcterms:modified xsi:type="dcterms:W3CDTF">2026-05-17T20:45:35Z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